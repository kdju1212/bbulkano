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28680" yWindow="-120" windowWidth="29040" windowHeight="15720" tabRatio="600" firstSheet="0" activeTab="10" autoFilterDateGrouping="1"/>
  </bookViews>
  <sheets>
    <sheet name="네이버RAW" sheetId="1" state="visible" r:id="rId1"/>
    <sheet name="네이버전환RAW" sheetId="2" state="visible" r:id="rId2"/>
    <sheet name="구글RAW" sheetId="3" state="visible" r:id="rId3"/>
    <sheet name="구글_확장검색" sheetId="4" state="visible" r:id="rId4"/>
    <sheet name="구글전환RAW" sheetId="5" state="visible" r:id="rId5"/>
    <sheet name="카카오RAW" sheetId="6" state="visible" r:id="rId6"/>
    <sheet name="PMAX_RAW" sheetId="7" state="hidden" r:id="rId7"/>
    <sheet name="PMAX전환_RAW" sheetId="8" state="hidden" r:id="rId8"/>
    <sheet name="SA기준" sheetId="9" state="visible" r:id="rId9"/>
    <sheet name="DA기준" sheetId="10" state="hidden" r:id="rId10"/>
    <sheet name="종합시트" sheetId="11" state="visible" r:id="rId11"/>
    <sheet name="BSA 광고비" sheetId="12" state="hidden" r:id="rId12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_-* #,##0_-;\-* #,##0_-;_-* &quot;-&quot;_-;_-@_-"/>
    <numFmt numFmtId="165" formatCode="0.00000"/>
    <numFmt numFmtId="166" formatCode="#,##0.0"/>
    <numFmt numFmtId="167" formatCode="yyyy/mm/dd"/>
  </numFmts>
  <fonts count="25">
    <font>
      <name val="맑은 고딕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sz val="8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color theme="1"/>
      <sz val="9"/>
      <scheme val="major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sz val="11"/>
      <scheme val="minor"/>
    </font>
    <font>
      <name val="나눔고딕"/>
      <charset val="129"/>
      <family val="3"/>
      <color rgb="FF4D4D4D"/>
      <sz val="10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family val="2"/>
      <color rgb="FFFF0000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family val="2"/>
      <color rgb="FF000000"/>
      <sz val="10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1"/>
      <scheme val="minor"/>
    </font>
    <font>
      <name val="맑은 고딕"/>
      <charset val="129"/>
      <family val="2"/>
      <color rgb="FF9C0006"/>
      <sz val="11"/>
      <scheme val="minor"/>
    </font>
    <font>
      <name val="맑은 고딕"/>
      <charset val="129"/>
      <family val="2"/>
      <color rgb="FF9C570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C6EFCE"/>
      </patternFill>
    </fill>
    <fill>
      <patternFill patternType="solid">
        <fgColor rgb="FFFFCCFF"/>
        <bgColor indexed="64"/>
      </patternFill>
    </fill>
    <fill>
      <patternFill patternType="solid">
        <fgColor rgb="FFF2F2F2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7999816888943144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8">
    <xf numFmtId="0" fontId="9" fillId="0" borderId="0"/>
    <xf numFmtId="0" fontId="5" fillId="0" borderId="0" applyAlignment="1">
      <alignment vertical="center"/>
    </xf>
    <xf numFmtId="41" fontId="9" fillId="0" borderId="0" applyAlignment="1">
      <alignment vertical="center"/>
    </xf>
    <xf numFmtId="0" fontId="11" fillId="5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19" fillId="0" borderId="0"/>
    <xf numFmtId="0" fontId="20" fillId="7" borderId="3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5" fillId="0" borderId="0" applyAlignment="1">
      <alignment vertical="center"/>
    </xf>
    <xf numFmtId="0" fontId="23" fillId="9" borderId="0" applyAlignment="1">
      <alignment vertical="center"/>
    </xf>
    <xf numFmtId="0" fontId="24" fillId="10" borderId="0" applyAlignment="1">
      <alignment vertical="center"/>
    </xf>
  </cellStyleXfs>
  <cellXfs count="112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14" fontId="0" fillId="0" borderId="0" applyAlignment="1" pivotButton="0" quotePrefix="0" xfId="0">
      <alignment vertical="center"/>
    </xf>
    <xf numFmtId="14" fontId="0" fillId="0" borderId="0" pivotButton="0" quotePrefix="0" xfId="0"/>
    <xf numFmtId="164" fontId="0" fillId="0" borderId="0" pivotButton="0" quotePrefix="0" xfId="2"/>
    <xf numFmtId="14" fontId="10" fillId="0" borderId="0" applyAlignment="1" pivotButton="0" quotePrefix="0" xfId="0">
      <alignment horizontal="center" vertical="center"/>
    </xf>
    <xf numFmtId="4" fontId="0" fillId="0" borderId="0" applyAlignment="1" pivotButton="0" quotePrefix="0" xfId="0">
      <alignment vertical="center"/>
    </xf>
    <xf numFmtId="0" fontId="12" fillId="0" borderId="0" pivotButton="0" quotePrefix="0" xfId="0"/>
    <xf numFmtId="3" fontId="0" fillId="0" borderId="0" applyAlignment="1" pivotButton="0" quotePrefix="0" xfId="0">
      <alignment vertical="center"/>
    </xf>
    <xf numFmtId="3" fontId="0" fillId="0" borderId="0" pivotButton="0" quotePrefix="0" xfId="0"/>
    <xf numFmtId="165" fontId="0" fillId="0" borderId="0" pivotButton="0" quotePrefix="0" xfId="0"/>
    <xf numFmtId="3" fontId="13" fillId="0" borderId="0" pivotButton="0" quotePrefix="0" xfId="0"/>
    <xf numFmtId="0" fontId="14" fillId="0" borderId="0" applyAlignment="1" pivotButton="0" quotePrefix="0" xfId="0">
      <alignment horizontal="center" vertical="center"/>
    </xf>
    <xf numFmtId="14" fontId="14" fillId="0" borderId="0" applyAlignment="1" pivotButton="0" quotePrefix="0" xfId="0">
      <alignment horizontal="center" vertical="center"/>
    </xf>
    <xf numFmtId="164" fontId="15" fillId="0" borderId="0" applyAlignment="1" pivotButton="0" quotePrefix="0" xfId="2">
      <alignment horizontal="center" vertical="center"/>
    </xf>
    <xf numFmtId="0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0" fontId="12" fillId="6" borderId="1" pivotButton="0" quotePrefix="0" xfId="0"/>
    <xf numFmtId="0" fontId="12" fillId="6" borderId="1" applyAlignment="1" pivotButton="0" quotePrefix="0" xfId="0">
      <alignment horizontal="center"/>
    </xf>
    <xf numFmtId="0" fontId="11" fillId="5" borderId="2" applyAlignment="1" pivotButton="0" quotePrefix="0" xfId="3">
      <alignment horizontal="center"/>
    </xf>
    <xf numFmtId="3" fontId="11" fillId="5" borderId="2" applyAlignment="1" pivotButton="0" quotePrefix="0" xfId="3">
      <alignment horizontal="center"/>
    </xf>
    <xf numFmtId="0" fontId="0" fillId="3" borderId="1" applyAlignment="1" pivotButton="0" quotePrefix="0" xfId="0">
      <alignment vertical="center"/>
    </xf>
    <xf numFmtId="14" fontId="0" fillId="3" borderId="1" applyAlignment="1" pivotButton="0" quotePrefix="0" xfId="0">
      <alignment vertical="center"/>
    </xf>
    <xf numFmtId="164" fontId="0" fillId="3" borderId="1" applyAlignment="1" pivotButton="0" quotePrefix="0" xfId="2">
      <alignment vertical="center"/>
    </xf>
    <xf numFmtId="0" fontId="0" fillId="4" borderId="1" applyAlignment="1" pivotButton="0" quotePrefix="0" xfId="0">
      <alignment horizontal="center" vertical="center"/>
    </xf>
    <xf numFmtId="0" fontId="0" fillId="4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4" fontId="0" fillId="0" borderId="1" applyAlignment="1" pivotButton="0" quotePrefix="0" xfId="0">
      <alignment vertical="center"/>
    </xf>
    <xf numFmtId="0" fontId="12" fillId="0" borderId="1" pivotButton="0" quotePrefix="0" xfId="0"/>
    <xf numFmtId="3" fontId="0" fillId="0" borderId="1" applyAlignment="1" pivotButton="0" quotePrefix="0" xfId="0">
      <alignment vertical="center"/>
    </xf>
    <xf numFmtId="0" fontId="0" fillId="3" borderId="1" applyAlignment="1" pivotButton="0" quotePrefix="0" xfId="0">
      <alignment horizontal="center" vertical="center"/>
    </xf>
    <xf numFmtId="0" fontId="17" fillId="3" borderId="1" applyAlignment="1" pivotButton="0" quotePrefix="0" xfId="0">
      <alignment horizontal="center" vertical="center"/>
    </xf>
    <xf numFmtId="14" fontId="7" fillId="3" borderId="1" applyAlignment="1" pivotButton="0" quotePrefix="0" xfId="0">
      <alignment vertical="center"/>
    </xf>
    <xf numFmtId="0" fontId="7" fillId="3" borderId="1" applyAlignment="1" pivotButton="0" quotePrefix="0" xfId="0">
      <alignment vertical="center"/>
    </xf>
    <xf numFmtId="164" fontId="7" fillId="3" borderId="1" applyAlignment="1" pivotButton="0" quotePrefix="0" xfId="2">
      <alignment vertical="center"/>
    </xf>
    <xf numFmtId="0" fontId="0" fillId="0" borderId="1" pivotButton="0" quotePrefix="0" xfId="0"/>
    <xf numFmtId="164" fontId="0" fillId="0" borderId="1" pivotButton="0" quotePrefix="0" xfId="2"/>
    <xf numFmtId="0" fontId="12" fillId="6" borderId="2" applyAlignment="1" pivotButton="0" quotePrefix="0" xfId="0">
      <alignment horizontal="center"/>
    </xf>
    <xf numFmtId="4" fontId="0" fillId="0" borderId="1" applyAlignment="1" pivotButton="0" quotePrefix="0" xfId="0">
      <alignment vertical="center"/>
    </xf>
    <xf numFmtId="0" fontId="16" fillId="0" borderId="1" applyAlignment="1" pivotButton="0" quotePrefix="0" xfId="0">
      <alignment horizontal="center" vertical="center"/>
    </xf>
    <xf numFmtId="164" fontId="16" fillId="0" borderId="1" applyAlignment="1" pivotButton="0" quotePrefix="0" xfId="2">
      <alignment horizontal="center" vertical="center"/>
    </xf>
    <xf numFmtId="164" fontId="16" fillId="3" borderId="1" applyAlignment="1" pivotButton="0" quotePrefix="0" xfId="2">
      <alignment horizontal="center" vertical="center"/>
    </xf>
    <xf numFmtId="0" fontId="7" fillId="3" borderId="1" applyAlignment="1" pivotButton="0" quotePrefix="0" xfId="0">
      <alignment horizontal="center" vertical="center"/>
    </xf>
    <xf numFmtId="0" fontId="18" fillId="3" borderId="1" applyAlignment="1" pivotButton="0" quotePrefix="0" xfId="0">
      <alignment horizontal="center" vertical="center"/>
    </xf>
    <xf numFmtId="0" fontId="3" fillId="0" borderId="1" applyAlignment="1" pivotButton="0" quotePrefix="0" xfId="10">
      <alignment vertical="center"/>
    </xf>
    <xf numFmtId="14" fontId="3" fillId="0" borderId="1" applyAlignment="1" pivotButton="0" quotePrefix="0" xfId="10">
      <alignment vertical="center"/>
    </xf>
    <xf numFmtId="0" fontId="3" fillId="0" borderId="1" applyAlignment="1" pivotButton="0" quotePrefix="0" xfId="11">
      <alignment vertical="center"/>
    </xf>
    <xf numFmtId="14" fontId="3" fillId="0" borderId="1" applyAlignment="1" pivotButton="0" quotePrefix="0" xfId="11">
      <alignment vertical="center"/>
    </xf>
    <xf numFmtId="3" fontId="3" fillId="0" borderId="1" applyAlignment="1" pivotButton="0" quotePrefix="0" xfId="10">
      <alignment vertical="center"/>
    </xf>
    <xf numFmtId="0" fontId="3" fillId="0" borderId="0" applyAlignment="1" pivotButton="0" quotePrefix="0" xfId="10">
      <alignment vertical="center"/>
    </xf>
    <xf numFmtId="14" fontId="3" fillId="0" borderId="0" applyAlignment="1" pivotButton="0" quotePrefix="0" xfId="10">
      <alignment vertical="center"/>
    </xf>
    <xf numFmtId="3" fontId="3" fillId="0" borderId="0" applyAlignment="1" pivotButton="0" quotePrefix="0" xfId="10">
      <alignment vertical="center"/>
    </xf>
    <xf numFmtId="0" fontId="3" fillId="0" borderId="0" applyAlignment="1" pivotButton="0" quotePrefix="0" xfId="11">
      <alignment vertical="center"/>
    </xf>
    <xf numFmtId="14" fontId="3" fillId="0" borderId="0" applyAlignment="1" pivotButton="0" quotePrefix="0" xfId="11">
      <alignment vertical="center"/>
    </xf>
    <xf numFmtId="0" fontId="3" fillId="0" borderId="0" applyAlignment="1" pivotButton="0" quotePrefix="0" xfId="12">
      <alignment vertical="center"/>
    </xf>
    <xf numFmtId="14" fontId="3" fillId="0" borderId="0" applyAlignment="1" pivotButton="0" quotePrefix="0" xfId="12">
      <alignment vertical="center"/>
    </xf>
    <xf numFmtId="3" fontId="3" fillId="0" borderId="0" applyAlignment="1" pivotButton="0" quotePrefix="0" xfId="12">
      <alignment vertical="center"/>
    </xf>
    <xf numFmtId="3" fontId="3" fillId="0" borderId="1" applyAlignment="1" pivotButton="0" quotePrefix="0" xfId="11">
      <alignment vertical="center"/>
    </xf>
    <xf numFmtId="3" fontId="3" fillId="0" borderId="0" applyAlignment="1" pivotButton="0" quotePrefix="0" xfId="11">
      <alignment vertical="center"/>
    </xf>
    <xf numFmtId="164" fontId="21" fillId="3" borderId="1" applyAlignment="1" pivotButton="0" quotePrefix="0" xfId="2">
      <alignment horizontal="center" vertical="center"/>
    </xf>
    <xf numFmtId="14" fontId="21" fillId="3" borderId="1" applyAlignment="1" pivotButton="0" quotePrefix="0" xfId="0">
      <alignment vertical="center"/>
    </xf>
    <xf numFmtId="0" fontId="21" fillId="3" borderId="1" applyAlignment="1" pivotButton="0" quotePrefix="0" xfId="0">
      <alignment vertical="center"/>
    </xf>
    <xf numFmtId="164" fontId="21" fillId="3" borderId="1" applyAlignment="1" pivotButton="0" quotePrefix="0" xfId="2">
      <alignment vertical="center"/>
    </xf>
    <xf numFmtId="0" fontId="3" fillId="0" borderId="0" applyAlignment="1" pivotButton="0" quotePrefix="0" xfId="13">
      <alignment vertical="center"/>
    </xf>
    <xf numFmtId="0" fontId="3" fillId="8" borderId="1" applyAlignment="1" pivotButton="0" quotePrefix="0" xfId="13">
      <alignment vertical="center"/>
    </xf>
    <xf numFmtId="0" fontId="3" fillId="0" borderId="1" applyAlignment="1" pivotButton="0" quotePrefix="0" xfId="13">
      <alignment vertical="center"/>
    </xf>
    <xf numFmtId="14" fontId="3" fillId="0" borderId="1" applyAlignment="1" pivotButton="0" quotePrefix="0" xfId="13">
      <alignment vertical="center"/>
    </xf>
    <xf numFmtId="14" fontId="3" fillId="0" borderId="0" applyAlignment="1" pivotButton="0" quotePrefix="0" xfId="13">
      <alignment vertical="center"/>
    </xf>
    <xf numFmtId="0" fontId="7" fillId="0" borderId="0" applyAlignment="1" pivotButton="0" quotePrefix="0" xfId="15">
      <alignment vertical="center"/>
    </xf>
    <xf numFmtId="0" fontId="3" fillId="0" borderId="0" applyAlignment="1" pivotButton="0" quotePrefix="0" xfId="15">
      <alignment vertical="center"/>
    </xf>
    <xf numFmtId="0" fontId="7" fillId="2" borderId="1" applyAlignment="1" pivotButton="0" quotePrefix="0" xfId="15">
      <alignment horizontal="center" vertical="center"/>
    </xf>
    <xf numFmtId="0" fontId="3" fillId="0" borderId="1" applyAlignment="1" pivotButton="0" quotePrefix="0" xfId="15">
      <alignment vertical="center"/>
    </xf>
    <xf numFmtId="0" fontId="22" fillId="0" borderId="1" applyAlignment="1" pivotButton="0" quotePrefix="0" xfId="0">
      <alignment horizontal="left" vertical="center"/>
    </xf>
    <xf numFmtId="0" fontId="7" fillId="3" borderId="2" applyAlignment="1" pivotButton="0" quotePrefix="0" xfId="0">
      <alignment horizontal="center" vertical="center"/>
    </xf>
    <xf numFmtId="0" fontId="18" fillId="3" borderId="2" applyAlignment="1" pivotButton="0" quotePrefix="0" xfId="0">
      <alignment horizontal="center" vertical="center"/>
    </xf>
    <xf numFmtId="0" fontId="20" fillId="7" borderId="3" applyAlignment="1" pivotButton="0" quotePrefix="0" xfId="9">
      <alignment horizontal="center" vertical="center"/>
    </xf>
    <xf numFmtId="14" fontId="0" fillId="0" borderId="1" pivotButton="0" quotePrefix="0" xfId="0"/>
    <xf numFmtId="0" fontId="2" fillId="0" borderId="1" applyAlignment="1" pivotButton="0" quotePrefix="0" xfId="15">
      <alignment vertical="center"/>
    </xf>
    <xf numFmtId="0" fontId="2" fillId="0" borderId="1" applyAlignment="1" pivotButton="0" quotePrefix="0" xfId="13">
      <alignment vertical="center"/>
    </xf>
    <xf numFmtId="166" fontId="11" fillId="5" borderId="2" applyAlignment="1" pivotButton="0" quotePrefix="0" xfId="3">
      <alignment horizontal="center"/>
    </xf>
    <xf numFmtId="14" fontId="16" fillId="0" borderId="1" applyAlignment="1" pivotButton="0" quotePrefix="0" xfId="0">
      <alignment horizontal="center" vertical="center"/>
    </xf>
    <xf numFmtId="14" fontId="0" fillId="11" borderId="1" pivotButton="0" quotePrefix="0" xfId="0"/>
    <xf numFmtId="3" fontId="0" fillId="11" borderId="1" pivotButton="0" quotePrefix="0" xfId="0"/>
    <xf numFmtId="0" fontId="0" fillId="11" borderId="1" pivotButton="0" quotePrefix="0" xfId="0"/>
    <xf numFmtId="0" fontId="0" fillId="2" borderId="1" pivotButton="0" quotePrefix="0" xfId="0"/>
    <xf numFmtId="14" fontId="0" fillId="2" borderId="1" pivotButton="0" quotePrefix="0" xfId="0"/>
    <xf numFmtId="164" fontId="16" fillId="8" borderId="1" applyAlignment="1" pivotButton="0" quotePrefix="0" xfId="2">
      <alignment horizontal="center" vertical="center"/>
    </xf>
    <xf numFmtId="0" fontId="12" fillId="6" borderId="4" applyAlignment="1" pivotButton="0" quotePrefix="0" xfId="0">
      <alignment horizontal="center"/>
    </xf>
    <xf numFmtId="0" fontId="12" fillId="6" borderId="5" applyAlignment="1" pivotButton="0" quotePrefix="0" xfId="0">
      <alignment horizontal="center"/>
    </xf>
    <xf numFmtId="0" fontId="11" fillId="5" borderId="1" applyAlignment="1" pivotButton="0" quotePrefix="0" xfId="3">
      <alignment horizontal="center"/>
    </xf>
    <xf numFmtId="0" fontId="24" fillId="10" borderId="1" applyAlignment="1" pivotButton="0" quotePrefix="0" xfId="17">
      <alignment horizontal="center"/>
    </xf>
    <xf numFmtId="0" fontId="23" fillId="9" borderId="1" applyAlignment="1" pivotButton="0" quotePrefix="0" xfId="16">
      <alignment horizontal="center"/>
    </xf>
    <xf numFmtId="167" fontId="0" fillId="0" borderId="0" pivotButton="0" quotePrefix="0" xfId="0"/>
    <xf numFmtId="167" fontId="16" fillId="0" borderId="1" applyAlignment="1" pivotButton="0" quotePrefix="0" xfId="0">
      <alignment horizontal="center" vertical="center"/>
    </xf>
    <xf numFmtId="167" fontId="0" fillId="0" borderId="1" pivotButton="0" quotePrefix="0" xfId="0"/>
    <xf numFmtId="164" fontId="0" fillId="0" borderId="0" pivotButton="0" quotePrefix="0" xfId="2"/>
    <xf numFmtId="164" fontId="0" fillId="3" borderId="1" applyAlignment="1" pivotButton="0" quotePrefix="0" xfId="2">
      <alignment vertical="center"/>
    </xf>
    <xf numFmtId="164" fontId="7" fillId="3" borderId="1" applyAlignment="1" pivotButton="0" quotePrefix="0" xfId="2">
      <alignment vertical="center"/>
    </xf>
    <xf numFmtId="164" fontId="0" fillId="0" borderId="1" pivotButton="0" quotePrefix="0" xfId="2"/>
    <xf numFmtId="0" fontId="0" fillId="0" borderId="8" pivotButton="0" quotePrefix="0" xfId="0"/>
    <xf numFmtId="0" fontId="0" fillId="0" borderId="5" pivotButton="0" quotePrefix="0" xfId="0"/>
    <xf numFmtId="164" fontId="16" fillId="0" borderId="1" applyAlignment="1" pivotButton="0" quotePrefix="0" xfId="2">
      <alignment horizontal="center" vertical="center"/>
    </xf>
    <xf numFmtId="164" fontId="16" fillId="8" borderId="1" applyAlignment="1" pivotButton="0" quotePrefix="0" xfId="2">
      <alignment horizontal="center" vertical="center"/>
    </xf>
    <xf numFmtId="164" fontId="16" fillId="3" borderId="1" applyAlignment="1" pivotButton="0" quotePrefix="0" xfId="2">
      <alignment horizontal="center" vertical="center"/>
    </xf>
    <xf numFmtId="166" fontId="11" fillId="5" borderId="2" applyAlignment="1" pivotButton="0" quotePrefix="0" xfId="3">
      <alignment horizontal="center"/>
    </xf>
    <xf numFmtId="164" fontId="21" fillId="3" borderId="1" applyAlignment="1" pivotButton="0" quotePrefix="0" xfId="2">
      <alignment horizontal="center" vertical="center"/>
    </xf>
    <xf numFmtId="164" fontId="21" fillId="3" borderId="1" applyAlignment="1" pivotButton="0" quotePrefix="0" xfId="2">
      <alignment vertical="center"/>
    </xf>
    <xf numFmtId="167" fontId="0" fillId="0" borderId="0" pivotButton="0" quotePrefix="0" xfId="0"/>
    <xf numFmtId="167" fontId="16" fillId="0" borderId="1" applyAlignment="1" pivotButton="0" quotePrefix="0" xfId="0">
      <alignment horizontal="center" vertical="center"/>
    </xf>
    <xf numFmtId="167" fontId="0" fillId="0" borderId="1" pivotButton="0" quotePrefix="0" xfId="0"/>
    <xf numFmtId="165" fontId="0" fillId="0" borderId="0" pivotButton="0" quotePrefix="0" xfId="0"/>
    <xf numFmtId="164" fontId="15" fillId="0" borderId="0" applyAlignment="1" pivotButton="0" quotePrefix="0" xfId="2">
      <alignment horizontal="center" vertical="center"/>
    </xf>
  </cellXfs>
  <cellStyles count="18">
    <cellStyle name="표준" xfId="0" builtinId="0"/>
    <cellStyle name="표준 2" xfId="1"/>
    <cellStyle name="쉼표 [0]" xfId="2" builtinId="6"/>
    <cellStyle name="좋음" xfId="3" builtinId="26"/>
    <cellStyle name="표준 6" xfId="4"/>
    <cellStyle name="표준 4" xfId="5"/>
    <cellStyle name="표준 5" xfId="6"/>
    <cellStyle name="표준 3" xfId="7"/>
    <cellStyle name="표준 8" xfId="8"/>
    <cellStyle name="계산" xfId="9" builtinId="22"/>
    <cellStyle name="표준 6 2" xfId="10"/>
    <cellStyle name="표준 5 2" xfId="11"/>
    <cellStyle name="표준 4 2" xfId="12"/>
    <cellStyle name="표준 9" xfId="13"/>
    <cellStyle name="표준 3 2" xfId="14"/>
    <cellStyle name="표준 2 2" xfId="15"/>
    <cellStyle name="나쁨" xfId="16" builtinId="27"/>
    <cellStyle name="보통" xfId="17" builtinId="2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3">
    <tabColor rgb="FF92D050"/>
    <outlinePr summaryBelow="1" summaryRight="1"/>
    <pageSetUpPr/>
  </sheetPr>
  <dimension ref="A2:Q6"/>
  <sheetViews>
    <sheetView showGridLines="0" zoomScale="70" zoomScaleNormal="70" workbookViewId="0">
      <pane ySplit="5" topLeftCell="A6" activePane="bottomLeft" state="frozen"/>
      <selection activeCell="D8358" sqref="D8358"/>
      <selection pane="bottomLeft" activeCell="L35" sqref="L35"/>
    </sheetView>
  </sheetViews>
  <sheetFormatPr baseColWidth="8" defaultRowHeight="16.5"/>
  <cols>
    <col width="11.625" bestFit="1" customWidth="1" min="1" max="1"/>
    <col width="11.125" bestFit="1" customWidth="1" style="3" min="2" max="2"/>
    <col width="12.5" bestFit="1" customWidth="1" style="3" min="3" max="3"/>
    <col width="39.25" bestFit="1" customWidth="1" min="4" max="4"/>
    <col width="30.875" bestFit="1" customWidth="1" min="5" max="5"/>
    <col width="29.625" bestFit="1" customWidth="1" min="6" max="6"/>
    <col width="17.25" customWidth="1" style="95" min="7" max="7"/>
    <col width="7.125" customWidth="1" style="95" min="8" max="8"/>
    <col width="16.75" customWidth="1" style="95" min="9" max="9"/>
    <col width="14.75" customWidth="1" min="10" max="13"/>
    <col width="9" customWidth="1" min="14" max="14"/>
    <col width="13" bestFit="1" customWidth="1" min="16" max="16"/>
    <col width="10.375" customWidth="1" min="17" max="17"/>
  </cols>
  <sheetData>
    <row r="2">
      <c r="G2" s="95" t="n">
        <v>0</v>
      </c>
      <c r="H2" s="95" t="n">
        <v>0</v>
      </c>
      <c r="I2" s="18" t="inlineStr">
        <is>
          <t>수식 보관함</t>
        </is>
      </c>
      <c r="J2" s="18">
        <f>SUMIFS(네이버전환RAW!$H:$H,네이버전환RAW!$A:$A,네이버RAW!$A2,네이버전환RAW!$B:$B,네이버RAW!$B2,네이버전환RAW!$C:$C,네이버RAW!$C2,네이버전환RAW!$D:$D,네이버RAW!$D2,네이버전환RAW!$E:$E,네이버RAW!$E2,네이버전환RAW!$F:$F,네이버RAW!$F2,네이버전환RAW!$G:$G,네이버RAW!J$5)</f>
        <v/>
      </c>
      <c r="K2" s="18">
        <f>SUMIFS(네이버전환RAW!$H:$H,네이버전환RAW!$A:$A,네이버RAW!$A2,네이버전환RAW!$B:$B,네이버RAW!$B2,네이버전환RAW!$C:$C,네이버RAW!$C2,네이버전환RAW!$D:$D,네이버RAW!$D2,네이버전환RAW!$E:$E,네이버RAW!$E2,네이버전환RAW!$F:$F,네이버RAW!$F2,네이버전환RAW!$G:$G,네이버RAW!K$5)</f>
        <v/>
      </c>
      <c r="L2" s="18">
        <f>SUMIFS(네이버전환RAW!$H:$H,네이버전환RAW!$A:$A,네이버RAW!$A2,네이버전환RAW!$B:$B,네이버RAW!$B2,네이버전환RAW!$C:$C,네이버RAW!$C2,네이버전환RAW!$D:$D,네이버RAW!$D2,네이버전환RAW!$E:$E,네이버RAW!$E2,네이버전환RAW!$F:$F,네이버RAW!$F2,네이버전환RAW!$G:$G,네이버RAW!L$5)</f>
        <v/>
      </c>
      <c r="M2" s="18">
        <f>SUMIFS(네이버전환RAW!I:I,네이버전환RAW!$A:$A,네이버RAW!$A2,네이버전환RAW!$B:$B,네이버RAW!$B2,네이버전환RAW!$C:$C,네이버RAW!$C2,네이버전환RAW!$D:$D,네이버RAW!$D2,네이버전환RAW!$E:$E,네이버RAW!$E2,네이버전환RAW!$F:$F,네이버RAW!$F2,네이버전환RAW!$G:$G,네이버RAW!$J$5)</f>
        <v/>
      </c>
      <c r="N2" s="18">
        <f>CONCATENATE(A2,B2,C2,D2,E2,F2)</f>
        <v/>
      </c>
      <c r="O2" s="18" t="inlineStr">
        <is>
          <t>포함</t>
        </is>
      </c>
      <c r="P2" s="18">
        <f>VLOOKUP(E2,SA기준!$B$3:$C$1000,2,)</f>
        <v/>
      </c>
      <c r="Q2" s="18">
        <f>COUNTIF(N:N, N2)</f>
        <v/>
      </c>
    </row>
    <row r="3">
      <c r="G3" s="95" t="n">
        <v>0</v>
      </c>
      <c r="H3" s="95" t="n">
        <v>0</v>
      </c>
      <c r="I3" s="30" t="inlineStr">
        <is>
          <t>정합성</t>
        </is>
      </c>
      <c r="J3" s="31">
        <f>J4=네이버전환RAW!F4</f>
        <v/>
      </c>
      <c r="K3" s="31">
        <f>K4=네이버전환RAW!G4</f>
        <v/>
      </c>
      <c r="L3" s="31">
        <f>L4=네이버전환RAW!H4</f>
        <v/>
      </c>
      <c r="M3" s="31">
        <f>M4=네이버전환RAW!I4</f>
        <v/>
      </c>
      <c r="Q3" s="31">
        <f>COUNTIF(Q6:Q49998, 2)</f>
        <v/>
      </c>
    </row>
    <row r="4">
      <c r="F4" s="19" t="inlineStr">
        <is>
          <t>TOTAL</t>
        </is>
      </c>
      <c r="G4" s="20">
        <f>SUM(G6:G99997)</f>
        <v/>
      </c>
      <c r="H4" s="20">
        <f>SUM(H6:H99997)</f>
        <v/>
      </c>
      <c r="I4" s="20">
        <f>SUM(I6:I99997)</f>
        <v/>
      </c>
      <c r="J4" s="20">
        <f>SUM(J6:J99997)</f>
        <v/>
      </c>
      <c r="K4" s="20">
        <f>SUM(K6:K99997)</f>
        <v/>
      </c>
      <c r="L4" s="20">
        <f>SUM(L6:L99997)</f>
        <v/>
      </c>
      <c r="M4" s="20">
        <f>SUM(M6:M99997)</f>
        <v/>
      </c>
    </row>
    <row r="5" ht="16.5" customHeight="1">
      <c r="A5" s="21" t="inlineStr">
        <is>
          <t>캠페인 유형</t>
        </is>
      </c>
      <c r="B5" s="22" t="inlineStr">
        <is>
          <t>일</t>
        </is>
      </c>
      <c r="C5" s="22" t="inlineStr">
        <is>
          <t>기기</t>
        </is>
      </c>
      <c r="D5" s="21" t="inlineStr">
        <is>
          <t>캠페인</t>
        </is>
      </c>
      <c r="E5" s="21" t="inlineStr">
        <is>
          <t>광고그룹</t>
        </is>
      </c>
      <c r="F5" s="21" t="inlineStr">
        <is>
          <t>검색 키워드</t>
        </is>
      </c>
      <c r="G5" s="96" t="inlineStr">
        <is>
          <t>노출수</t>
        </is>
      </c>
      <c r="H5" s="96" t="inlineStr">
        <is>
          <t>클릭수</t>
        </is>
      </c>
      <c r="I5" s="96" t="inlineStr">
        <is>
          <t>비용</t>
        </is>
      </c>
      <c r="J5" s="24" t="inlineStr">
        <is>
          <t>구매완료</t>
        </is>
      </c>
      <c r="K5" s="24" t="inlineStr">
        <is>
          <t>신청/예약</t>
        </is>
      </c>
      <c r="L5" s="24" t="inlineStr">
        <is>
          <t>회원가입</t>
        </is>
      </c>
      <c r="M5" s="24" t="inlineStr">
        <is>
          <t>구매완료매출액</t>
        </is>
      </c>
      <c r="N5" s="25" t="inlineStr">
        <is>
          <t>CONCATENATE</t>
        </is>
      </c>
      <c r="O5" s="25" t="inlineStr">
        <is>
          <t>구분</t>
        </is>
      </c>
      <c r="P5" s="24" t="inlineStr">
        <is>
          <t>SA_카테고리</t>
        </is>
      </c>
      <c r="Q5" s="75" t="inlineStr">
        <is>
          <t>중복제거</t>
        </is>
      </c>
    </row>
    <row r="6">
      <c r="A6" s="26" t="inlineStr">
        <is>
          <t>검색</t>
        </is>
      </c>
      <c r="B6" s="27" t="inlineStr">
        <is>
          <t>2026.06.30.</t>
        </is>
      </c>
      <c r="C6" s="26" t="inlineStr">
        <is>
          <t>모바일</t>
        </is>
      </c>
      <c r="D6" s="26" t="inlineStr">
        <is>
          <t>01_파워링크mo</t>
        </is>
      </c>
      <c r="E6" s="26" t="inlineStr">
        <is>
          <t>가정_문영은</t>
        </is>
      </c>
      <c r="F6" s="26" t="inlineStr">
        <is>
          <t>문영은</t>
        </is>
      </c>
      <c r="G6" s="26" t="n">
        <v>2</v>
      </c>
      <c r="H6" s="26" t="n">
        <v>0</v>
      </c>
      <c r="I6" s="26" t="n">
        <v>0</v>
      </c>
      <c r="J6" s="28">
        <f>SUMIFS(네이버전환RAW!$H:$H,네이버전환RAW!$A:$A,네이버RAW!$A6,네이버전환RAW!$B:$B,네이버RAW!$B6,네이버전환RAW!$C:$C,네이버RAW!$C6,네이버전환RAW!$D:$D,네이버RAW!$D6,네이버전환RAW!$E:$E,네이버RAW!$E6,네이버전환RAW!$F:$F,네이버RAW!$F6,네이버전환RAW!$G:$G,네이버RAW!J$5)</f>
        <v/>
      </c>
      <c r="K6" s="28">
        <f>SUMIFS(네이버전환RAW!$H:$H,네이버전환RAW!$A:$A,네이버RAW!$A6,네이버전환RAW!$B:$B,네이버RAW!$B6,네이버전환RAW!$C:$C,네이버RAW!$C6,네이버전환RAW!$D:$D,네이버RAW!$D6,네이버전환RAW!$E:$E,네이버RAW!$E6,네이버전환RAW!$F:$F,네이버RAW!$F6,네이버전환RAW!$G:$G,네이버RAW!K$5)</f>
        <v/>
      </c>
      <c r="L6" s="28">
        <f>SUMIFS(네이버전환RAW!$H:$H,네이버전환RAW!$A:$A,네이버RAW!$A6,네이버전환RAW!$B:$B,네이버RAW!$B6,네이버전환RAW!$C:$C,네이버RAW!$C6,네이버전환RAW!$D:$D,네이버RAW!$D6,네이버전환RAW!$E:$E,네이버RAW!$E6,네이버전환RAW!$F:$F,네이버RAW!$F6,네이버전환RAW!$G:$G,네이버RAW!L$5)</f>
        <v/>
      </c>
      <c r="M6" s="28">
        <f>SUMIFS(네이버전환RAW!I:I,네이버전환RAW!$A:$A,네이버RAW!$A6,네이버전환RAW!$B:$B,네이버RAW!$B6,네이버전환RAW!$C:$C,네이버RAW!$C6,네이버전환RAW!$D:$D,네이버RAW!$D6,네이버전환RAW!$E:$E,네이버RAW!$E6,네이버전환RAW!$F:$F,네이버RAW!$F6,네이버전환RAW!$G:$G,네이버RAW!$J$5)</f>
        <v/>
      </c>
      <c r="N6" s="28">
        <f>CONCATENATE(A6,B6,C6,D6,E6,F6)</f>
        <v/>
      </c>
      <c r="O6" s="28" t="inlineStr">
        <is>
          <t>포함</t>
        </is>
      </c>
      <c r="P6" s="28">
        <f>VLOOKUP(E6,SA기준!$B$3:$C$1000,2,)</f>
        <v/>
      </c>
      <c r="Q6" s="28">
        <f>COUNTIF(N:N, N6)</f>
        <v/>
      </c>
    </row>
    <row r="2043" ht="18" customHeight="1"/>
    <row r="2046" ht="18" customHeight="1"/>
    <row r="3236" ht="17.25" customHeight="1"/>
    <row r="6786" ht="15.75" customHeight="1"/>
    <row r="8191" ht="15.75" customHeight="1"/>
    <row r="8312" ht="15.75" customHeight="1"/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5">
    <tabColor rgb="FF92D050"/>
    <outlinePr summaryBelow="1" summaryRight="1"/>
    <pageSetUpPr/>
  </sheetPr>
  <dimension ref="A2:K6"/>
  <sheetViews>
    <sheetView showGridLines="0" zoomScale="70" zoomScaleNormal="70" workbookViewId="0">
      <selection activeCell="I32" sqref="I32"/>
    </sheetView>
  </sheetViews>
  <sheetFormatPr baseColWidth="8" defaultRowHeight="16.5"/>
  <cols>
    <col width="11.25" customWidth="1" min="1" max="1"/>
    <col width="11.125" bestFit="1" customWidth="1" style="3" min="2" max="2"/>
    <col width="11.125" customWidth="1" style="3" min="3" max="3"/>
    <col width="29.875" customWidth="1" min="4" max="4"/>
    <col width="47.375" customWidth="1" min="5" max="5"/>
    <col width="29.75" customWidth="1" min="6" max="7"/>
    <col width="13" bestFit="1" customWidth="1" min="8" max="8"/>
    <col width="13" customWidth="1" min="9" max="9"/>
    <col width="46.875" customWidth="1" min="10" max="10"/>
    <col width="8.75" customWidth="1" min="11" max="11"/>
  </cols>
  <sheetData>
    <row r="2">
      <c r="I2" s="18" t="inlineStr">
        <is>
          <t>수식 보관함</t>
        </is>
      </c>
      <c r="J2" s="17">
        <f>CONCATENATE(A2,B2,C2,D2,E2,F2)</f>
        <v/>
      </c>
      <c r="K2" s="17">
        <f>IFERROR(VLOOKUP(J2, 네이버RAW!N:O, 2, FALSE), "미포함")</f>
        <v/>
      </c>
    </row>
    <row r="3">
      <c r="F3" s="19" t="inlineStr">
        <is>
          <t>구매완료</t>
        </is>
      </c>
      <c r="G3" s="19" t="inlineStr">
        <is>
          <t>신청 완료</t>
        </is>
      </c>
      <c r="H3" s="19" t="inlineStr">
        <is>
          <t>회원가입</t>
        </is>
      </c>
      <c r="I3" s="19" t="inlineStr">
        <is>
          <t>전환매출액</t>
        </is>
      </c>
    </row>
    <row r="4">
      <c r="E4" s="19" t="inlineStr">
        <is>
          <t>TOTAL</t>
        </is>
      </c>
      <c r="F4" s="20">
        <f>SUMIF($G$5:$G$99999, F$3, $H$5:$H$99999)</f>
        <v/>
      </c>
      <c r="G4" s="20">
        <f>SUMIF($G$5:$G$99999, G$3, $H$5:$H$99999)</f>
        <v/>
      </c>
      <c r="H4" s="20">
        <f>SUMIF($G$5:$G$99999, H$3, $H$5:$H$99999)</f>
        <v/>
      </c>
      <c r="I4" s="20">
        <f>SUMIF($G$5:$G$99999, F$3, $I$5:$I$99999)</f>
        <v/>
      </c>
    </row>
    <row r="5">
      <c r="A5" s="21" t="inlineStr">
        <is>
          <t>캠페인 유형</t>
        </is>
      </c>
      <c r="B5" s="22" t="inlineStr">
        <is>
          <t>날짜</t>
        </is>
      </c>
      <c r="C5" s="22" t="inlineStr">
        <is>
          <t>기기</t>
        </is>
      </c>
      <c r="D5" s="21" t="inlineStr">
        <is>
          <t>캠페인</t>
        </is>
      </c>
      <c r="E5" s="21" t="inlineStr">
        <is>
          <t>광고그룹</t>
        </is>
      </c>
      <c r="F5" s="21" t="inlineStr">
        <is>
          <t>키워드</t>
        </is>
      </c>
      <c r="G5" s="21" t="inlineStr">
        <is>
          <t>전환유형</t>
        </is>
      </c>
      <c r="H5" s="21" t="inlineStr">
        <is>
          <t>전환수</t>
        </is>
      </c>
      <c r="I5" s="21" t="inlineStr">
        <is>
          <t>전환매출액</t>
        </is>
      </c>
      <c r="J5" s="25" t="inlineStr">
        <is>
          <t>CONCATENATE</t>
        </is>
      </c>
      <c r="K5" s="25" t="inlineStr">
        <is>
          <t>구분</t>
        </is>
      </c>
    </row>
    <row r="6">
      <c r="A6" s="26" t="inlineStr">
        <is>
          <t>검색</t>
        </is>
      </c>
      <c r="B6" s="27" t="inlineStr">
        <is>
          <t>2026.06.30.</t>
        </is>
      </c>
      <c r="C6" s="26" t="inlineStr">
        <is>
          <t>PC</t>
        </is>
      </c>
      <c r="D6" s="26" t="inlineStr">
        <is>
          <t>02_파워링크pc</t>
        </is>
      </c>
      <c r="E6" s="26" t="inlineStr">
        <is>
          <t>유아_이동건</t>
        </is>
      </c>
      <c r="F6" s="26" t="inlineStr">
        <is>
          <t>유아임용이동건</t>
        </is>
      </c>
      <c r="G6" s="26" t="inlineStr">
        <is>
          <t>구매완료</t>
        </is>
      </c>
      <c r="H6" s="26" t="n">
        <v>1</v>
      </c>
      <c r="I6" s="29" t="n">
        <v>406000</v>
      </c>
      <c r="J6" s="28">
        <f>CONCATENATE(A6,B6,C6,D6,E6,F6)</f>
        <v/>
      </c>
      <c r="K6" s="28">
        <f>IFERROR(VLOOKUP(J6, 네이버RAW!N:O, 2, FALSE), "미포함")</f>
        <v/>
      </c>
    </row>
    <row r="30" ht="15.75" customHeight="1"/>
    <row r="66" ht="17.25" customHeight="1"/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6">
    <tabColor theme="4"/>
    <outlinePr summaryBelow="1" summaryRight="1"/>
    <pageSetUpPr/>
  </sheetPr>
  <dimension ref="A1:Q6"/>
  <sheetViews>
    <sheetView showGridLines="0" topLeftCell="A3" zoomScale="70" zoomScaleNormal="70" workbookViewId="0">
      <selection activeCell="I73" sqref="I73:I74"/>
    </sheetView>
  </sheetViews>
  <sheetFormatPr baseColWidth="8" defaultRowHeight="16.5"/>
  <cols>
    <col width="11.625" bestFit="1" customWidth="1" min="1" max="1"/>
    <col width="12.625" customWidth="1" style="3" min="2" max="2"/>
    <col width="12.5" bestFit="1" customWidth="1" min="3" max="3"/>
    <col width="48.375" bestFit="1" customWidth="1" min="4" max="4"/>
    <col width="30.875" bestFit="1" customWidth="1" min="5" max="5"/>
    <col width="29.625" bestFit="1" customWidth="1" min="6" max="6"/>
    <col width="10" customWidth="1" style="95" min="7" max="7"/>
    <col width="12" customWidth="1" style="95" min="8" max="8"/>
    <col width="19.125" customWidth="1" style="95" min="9" max="9"/>
    <col width="12.625" customWidth="1" min="10" max="12"/>
    <col width="17.75" customWidth="1" min="13" max="13"/>
    <col width="12.625" bestFit="1" customWidth="1" min="16" max="16"/>
    <col width="11.625" customWidth="1" min="17" max="17"/>
    <col width="13" bestFit="1" customWidth="1" min="18" max="18"/>
  </cols>
  <sheetData>
    <row r="1">
      <c r="J1" s="95" t="n"/>
      <c r="K1" s="95" t="n"/>
      <c r="L1" s="95" t="n"/>
      <c r="M1" s="95" t="n"/>
    </row>
    <row r="2">
      <c r="G2" s="95" t="n">
        <v>0</v>
      </c>
      <c r="H2" s="95" t="n">
        <v>0</v>
      </c>
      <c r="I2" s="18" t="inlineStr">
        <is>
          <t>수식 보관함</t>
        </is>
      </c>
      <c r="J2" s="18">
        <f>SUMIFS(구글전환RAW!G:G,구글전환RAW!$A:$A,구글RAW!$B2,구글전환RAW!$B:$B,구글RAW!$C2,구글전환RAW!$C:$C,구글RAW!$D2,구글전환RAW!$D:$D,구글RAW!$E2,구글전환RAW!$E:$E,구글RAW!$F2,구글전환RAW!$F:$F,구글RAW!J$5)</f>
        <v/>
      </c>
      <c r="K2" s="18">
        <f>SUMIFS(구글전환RAW!G:G,구글전환RAW!$A:$A,구글RAW!$B2,구글전환RAW!$B:$B,구글RAW!$C2,구글전환RAW!$C:$C,구글RAW!$D2,구글전환RAW!$D:$D,구글RAW!$E2,구글전환RAW!$E:$E,구글RAW!$F2,구글전환RAW!$F:$F,구글RAW!K$5)</f>
        <v/>
      </c>
      <c r="L2" s="18">
        <f>SUMIFS(구글전환RAW!G:G,구글전환RAW!$A:$A,구글RAW!$B2,구글전환RAW!$B:$B,구글RAW!$C2,구글전환RAW!$C:$C,구글RAW!$D2,구글전환RAW!$D:$D,구글RAW!$E2,구글전환RAW!$E:$E,구글RAW!$F2,구글전환RAW!$F:$F,구글RAW!L$5)</f>
        <v/>
      </c>
      <c r="M2" s="18">
        <f>SUMIFS(구글전환RAW!H:H,구글전환RAW!$A:$A,구글RAW!$B2,구글전환RAW!$B:$B,구글RAW!$C2,구글전환RAW!$C:$C,구글RAW!$D2,구글전환RAW!$D:$D,구글RAW!$E2,구글전환RAW!$E:$E,구글RAW!$F2,구글전환RAW!$F:$F,구글RAW!M$5)</f>
        <v/>
      </c>
      <c r="N2" s="18">
        <f>CONCATENATE(B2,C2,D2,E2,F2)</f>
        <v/>
      </c>
      <c r="O2" s="18" t="inlineStr">
        <is>
          <t>포함</t>
        </is>
      </c>
      <c r="P2" s="18">
        <f>VLOOKUP(E2,SA기준!B:C,2,)</f>
        <v/>
      </c>
      <c r="Q2" s="18">
        <f>COUNTIF(N:N, N2)</f>
        <v/>
      </c>
    </row>
    <row r="3">
      <c r="G3" s="95" t="n">
        <v>0</v>
      </c>
      <c r="H3" s="95" t="n">
        <v>0</v>
      </c>
      <c r="I3" s="30" t="inlineStr">
        <is>
          <t>정합성</t>
        </is>
      </c>
      <c r="J3" s="31">
        <f>J4=구글전환RAW!E4</f>
        <v/>
      </c>
      <c r="K3" s="31">
        <f>K4=구글전환RAW!F4</f>
        <v/>
      </c>
      <c r="L3" s="31">
        <f>L4=구글전환RAW!G4</f>
        <v/>
      </c>
      <c r="M3" s="31">
        <f>M4=구글전환RAW!H4</f>
        <v/>
      </c>
      <c r="Q3" s="31">
        <f>COUNTIF(Q6:Q50000, 2)</f>
        <v/>
      </c>
    </row>
    <row r="4">
      <c r="F4" s="19" t="inlineStr">
        <is>
          <t>TOTAL</t>
        </is>
      </c>
      <c r="G4" s="20">
        <f>SUM(G6:G99999)</f>
        <v/>
      </c>
      <c r="H4" s="20">
        <f>SUM(H6:H99999)</f>
        <v/>
      </c>
      <c r="I4" s="20">
        <f>SUM(I6:I99999)</f>
        <v/>
      </c>
      <c r="J4" s="20">
        <f>SUM(J6:J99999)</f>
        <v/>
      </c>
      <c r="K4" s="20">
        <f>SUM(K6:K99999)</f>
        <v/>
      </c>
      <c r="L4" s="20">
        <f>SUM(L6:L99999)</f>
        <v/>
      </c>
      <c r="M4" s="20">
        <f>SUM(M6:M99999)</f>
        <v/>
      </c>
    </row>
    <row r="5" ht="15.75" customHeight="1">
      <c r="A5" s="32" t="inlineStr">
        <is>
          <t>캠페인 유형</t>
        </is>
      </c>
      <c r="B5" s="32" t="inlineStr">
        <is>
          <t>일</t>
        </is>
      </c>
      <c r="C5" s="33" t="inlineStr">
        <is>
          <t>기기</t>
        </is>
      </c>
      <c r="D5" s="33" t="inlineStr">
        <is>
          <t>캠페인</t>
        </is>
      </c>
      <c r="E5" s="33" t="inlineStr">
        <is>
          <t>광고그룹</t>
        </is>
      </c>
      <c r="F5" s="33" t="inlineStr">
        <is>
          <t>검색 키워드</t>
        </is>
      </c>
      <c r="G5" s="97" t="inlineStr">
        <is>
          <t>노출수</t>
        </is>
      </c>
      <c r="H5" s="97" t="inlineStr">
        <is>
          <t>클릭수</t>
        </is>
      </c>
      <c r="I5" s="97" t="inlineStr">
        <is>
          <t>비용</t>
        </is>
      </c>
      <c r="J5" s="24" t="inlineStr">
        <is>
          <t>구매</t>
        </is>
      </c>
      <c r="K5" s="24" t="inlineStr">
        <is>
          <t>상담문의완료</t>
        </is>
      </c>
      <c r="L5" s="24" t="inlineStr">
        <is>
          <t>회원가입</t>
        </is>
      </c>
      <c r="M5" s="24" t="inlineStr">
        <is>
          <t>구매</t>
        </is>
      </c>
      <c r="N5" s="25" t="inlineStr">
        <is>
          <t>CONCATENATE</t>
        </is>
      </c>
      <c r="O5" s="25" t="inlineStr">
        <is>
          <t>구분</t>
        </is>
      </c>
      <c r="P5" s="33" t="inlineStr">
        <is>
          <t>SA_카테고리</t>
        </is>
      </c>
      <c r="Q5" s="75" t="inlineStr">
        <is>
          <t>중복제거</t>
        </is>
      </c>
    </row>
    <row r="6">
      <c r="A6" s="26" t="inlineStr">
        <is>
          <t>확장검색</t>
        </is>
      </c>
      <c r="B6" s="27" t="n">
        <v>46203</v>
      </c>
      <c r="C6" s="26" t="inlineStr">
        <is>
          <t>컴퓨터</t>
        </is>
      </c>
      <c r="D6" s="26" t="inlineStr">
        <is>
          <t>[22-03] SA_PC 캠페인</t>
        </is>
      </c>
      <c r="E6" s="26" t="inlineStr">
        <is>
          <t>브랜드</t>
        </is>
      </c>
      <c r="F6" s="26" t="inlineStr">
        <is>
          <t>희소쌤플러스</t>
        </is>
      </c>
      <c r="G6" s="26" t="n">
        <v>149</v>
      </c>
      <c r="H6" s="26" t="n">
        <v>141</v>
      </c>
      <c r="I6" s="26" t="n">
        <v>14285</v>
      </c>
      <c r="J6" s="35">
        <f>SUMIFS(구글전환RAW!G:G,구글전환RAW!$A:$A,구글RAW!$B6,구글전환RAW!$B:$B,구글RAW!$C6,구글전환RAW!$C:$C,구글RAW!$D6,구글전환RAW!$D:$D,구글RAW!$E6,구글전환RAW!$E:$E,구글RAW!$F6,구글전환RAW!$F:$F,구글RAW!J$5)</f>
        <v/>
      </c>
      <c r="K6" s="35">
        <f>SUMIFS(구글전환RAW!G:G,구글전환RAW!$A:$A,구글RAW!$B6,구글전환RAW!$B:$B,구글RAW!$C6,구글전환RAW!$C:$C,구글RAW!$D6,구글전환RAW!$D:$D,구글RAW!$E6,구글전환RAW!$E:$E,구글RAW!$F6,구글전환RAW!$F:$F,구글RAW!K$5)</f>
        <v/>
      </c>
      <c r="L6" s="35">
        <f>SUMIFS(구글전환RAW!G:G,구글전환RAW!$A:$A,구글RAW!$B6,구글전환RAW!$B:$B,구글RAW!$C6,구글전환RAW!$C:$C,구글RAW!$D6,구글전환RAW!$D:$D,구글RAW!$E6,구글전환RAW!$E:$E,구글RAW!$F6,구글전환RAW!$F:$F,구글RAW!L$5)</f>
        <v/>
      </c>
      <c r="M6" s="98">
        <f>SUMIFS(구글전환RAW!H:H,구글전환RAW!$A:$A,구글RAW!$B6,구글전환RAW!$B:$B,구글RAW!$C6,구글전환RAW!$C:$C,구글RAW!$D6,구글전환RAW!$D:$D,구글RAW!$E6,구글전환RAW!$E:$E,구글RAW!$F6,구글전환RAW!$F:$F,구글RAW!M$5)</f>
        <v/>
      </c>
      <c r="N6" s="35">
        <f>CONCATENATE(B6,C6,D6,E6,F6)</f>
        <v/>
      </c>
      <c r="O6" s="35" t="inlineStr">
        <is>
          <t>포함</t>
        </is>
      </c>
      <c r="P6" s="35">
        <f>VLOOKUP(E6,SA기준!B:C,2,)</f>
        <v/>
      </c>
      <c r="Q6" s="28">
        <f>COUNTIF(N:N, N6)</f>
        <v/>
      </c>
    </row>
    <row r="454" ht="15.75" customHeight="1"/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 codeName="Sheet1">
    <tabColor theme="4"/>
    <outlinePr summaryBelow="1" summaryRight="1"/>
    <pageSetUpPr/>
  </sheetPr>
  <dimension ref="A2:AG5"/>
  <sheetViews>
    <sheetView showGridLines="0" topLeftCell="I7" workbookViewId="0">
      <selection activeCell="I14" sqref="I14"/>
    </sheetView>
  </sheetViews>
  <sheetFormatPr baseColWidth="8" defaultRowHeight="16.5"/>
  <cols>
    <col width="11.125" bestFit="1" customWidth="1" min="1" max="1"/>
    <col width="11.25" bestFit="1" customWidth="1" min="10" max="10"/>
    <col width="22.375" customWidth="1" min="11" max="11"/>
    <col width="11.125" bestFit="1" customWidth="1" min="12" max="12"/>
    <col width="11.125" bestFit="1" customWidth="1" min="16" max="16"/>
    <col width="5.25" bestFit="1" customWidth="1" min="19" max="19"/>
    <col width="11.125" bestFit="1" customWidth="1" min="20" max="20"/>
    <col width="7.5" bestFit="1" customWidth="1" min="21" max="21"/>
    <col width="22.5" customWidth="1" min="22" max="22"/>
    <col width="11.5" customWidth="1" min="23" max="23"/>
    <col width="11.25" bestFit="1" customWidth="1" min="24" max="24"/>
    <col width="7.25" bestFit="1" customWidth="1" min="25" max="26"/>
    <col width="17.5" bestFit="1" customWidth="1" min="27" max="27"/>
    <col width="8.75" bestFit="1" customWidth="1" min="28" max="28"/>
    <col width="9.375" bestFit="1" customWidth="1" min="29" max="29"/>
    <col width="8.75" bestFit="1" customWidth="1" min="30" max="30"/>
    <col width="10.25" bestFit="1" customWidth="1" min="31" max="31"/>
    <col width="9" bestFit="1" customWidth="1" min="32" max="32"/>
    <col width="11.375" bestFit="1" customWidth="1" min="33" max="33"/>
  </cols>
  <sheetData>
    <row r="2">
      <c r="J2" s="81">
        <f>A2</f>
        <v/>
      </c>
      <c r="K2" s="82">
        <f>B2</f>
        <v/>
      </c>
      <c r="L2" s="82">
        <f>C2</f>
        <v/>
      </c>
      <c r="M2" s="83">
        <f>SUMIFS(구글RAW!G:G,구글RAW!$B:$B,구글_확장검색!$J2,구글RAW!$D:$D,구글_확장검색!$K2,구글RAW!$E:$E,구글_확장검색!$L2)</f>
        <v/>
      </c>
      <c r="N2" s="83">
        <f>SUMIFS(구글RAW!H:H,구글RAW!$B:$B,구글_확장검색!$J2,구글RAW!$D:$D,구글_확장검색!$K2,구글RAW!$E:$E,구글_확장검색!$L2)</f>
        <v/>
      </c>
      <c r="O2" s="83">
        <f>SUMIFS(구글RAW!I:I,구글RAW!$B:$B,구글_확장검색!$J2,구글RAW!$D:$D,구글_확장검색!$K2,구글RAW!$E:$E,구글_확장검색!$L2)</f>
        <v/>
      </c>
      <c r="P2" s="83" t="n"/>
      <c r="Q2" s="83" t="n"/>
      <c r="S2" s="84" t="inlineStr">
        <is>
          <t>구글</t>
        </is>
      </c>
      <c r="T2" s="85">
        <f>J2</f>
        <v/>
      </c>
      <c r="U2" s="84">
        <f>IF(ISNUMBER(SEARCH("pc", V2)), "PC", IF(ISNUMBER(SEARCH("mo", V2)), "MO", ""))</f>
        <v/>
      </c>
      <c r="V2" s="85">
        <f>K2</f>
        <v/>
      </c>
      <c r="W2" s="85">
        <f>L2</f>
        <v/>
      </c>
      <c r="X2" s="84" t="inlineStr">
        <is>
          <t>확장검색</t>
        </is>
      </c>
      <c r="Y2" s="84">
        <f>D2-M2</f>
        <v/>
      </c>
      <c r="Z2" s="84">
        <f>E2-N2</f>
        <v/>
      </c>
      <c r="AA2" s="84">
        <f>(F2-O2)</f>
        <v/>
      </c>
      <c r="AB2" s="84" t="n">
        <v>0</v>
      </c>
      <c r="AC2" s="84" t="n">
        <v>0</v>
      </c>
      <c r="AD2" s="84" t="n">
        <v>0</v>
      </c>
      <c r="AE2" s="84" t="n">
        <v>0</v>
      </c>
      <c r="AF2" s="84" t="inlineStr">
        <is>
          <t>확장검색</t>
        </is>
      </c>
      <c r="AG2" s="85">
        <f>VLOOKUP(W2,SA기준!$B$2:$C$300,2,0)</f>
        <v/>
      </c>
    </row>
    <row r="3">
      <c r="A3" s="89" t="inlineStr">
        <is>
          <t>SA 전체 RAW</t>
        </is>
      </c>
      <c r="B3" s="99" t="n"/>
      <c r="C3" s="99" t="n"/>
      <c r="D3" s="99" t="n"/>
      <c r="E3" s="99" t="n"/>
      <c r="F3" s="99" t="n"/>
      <c r="G3" s="99" t="n"/>
      <c r="H3" s="100" t="n"/>
      <c r="J3" s="90" t="inlineStr">
        <is>
          <t>SA 키워드 RAW</t>
        </is>
      </c>
      <c r="K3" s="99" t="n"/>
      <c r="L3" s="99" t="n"/>
      <c r="M3" s="99" t="n"/>
      <c r="N3" s="99" t="n"/>
      <c r="O3" s="99" t="n"/>
      <c r="P3" s="99" t="n"/>
      <c r="Q3" s="100" t="n"/>
      <c r="S3" s="91" t="inlineStr">
        <is>
          <t>확장검색 RAW</t>
        </is>
      </c>
      <c r="T3" s="99" t="n"/>
      <c r="U3" s="99" t="n"/>
      <c r="V3" s="99" t="n"/>
      <c r="W3" s="99" t="n"/>
      <c r="X3" s="99" t="n"/>
      <c r="Y3" s="99" t="n"/>
      <c r="Z3" s="99" t="n"/>
      <c r="AA3" s="99" t="n"/>
      <c r="AB3" s="99" t="n"/>
      <c r="AC3" s="99" t="n"/>
      <c r="AD3" s="99" t="n"/>
      <c r="AE3" s="99" t="n"/>
      <c r="AF3" s="99" t="n"/>
      <c r="AG3" s="100" t="n"/>
    </row>
    <row r="4">
      <c r="A4" s="35" t="inlineStr">
        <is>
          <t>일</t>
        </is>
      </c>
      <c r="B4" s="35" t="inlineStr">
        <is>
          <t>캠페인</t>
        </is>
      </c>
      <c r="C4" s="35" t="inlineStr">
        <is>
          <t>광고그룹</t>
        </is>
      </c>
      <c r="D4" s="35" t="inlineStr">
        <is>
          <t>노출수</t>
        </is>
      </c>
      <c r="E4" s="35" t="inlineStr">
        <is>
          <t>클릭수</t>
        </is>
      </c>
      <c r="F4" s="35" t="inlineStr">
        <is>
          <t>비용</t>
        </is>
      </c>
      <c r="G4" s="35" t="inlineStr">
        <is>
          <t>전환</t>
        </is>
      </c>
      <c r="H4" s="35" t="inlineStr">
        <is>
          <t>전환 가치</t>
        </is>
      </c>
      <c r="J4" s="35" t="inlineStr">
        <is>
          <t>일</t>
        </is>
      </c>
      <c r="K4" s="35" t="inlineStr">
        <is>
          <t>캠페인</t>
        </is>
      </c>
      <c r="L4" s="35" t="inlineStr">
        <is>
          <t>광고그룹</t>
        </is>
      </c>
      <c r="M4" s="35" t="inlineStr">
        <is>
          <t>노출수</t>
        </is>
      </c>
      <c r="N4" s="35" t="inlineStr">
        <is>
          <t>클릭수</t>
        </is>
      </c>
      <c r="O4" s="35" t="inlineStr">
        <is>
          <t>비용</t>
        </is>
      </c>
      <c r="P4" s="35" t="inlineStr">
        <is>
          <t>전환</t>
        </is>
      </c>
      <c r="Q4" s="35" t="inlineStr">
        <is>
          <t>전환 가치</t>
        </is>
      </c>
      <c r="S4" s="80" t="inlineStr">
        <is>
          <t>매체</t>
        </is>
      </c>
      <c r="T4" s="80" t="inlineStr">
        <is>
          <t>날짜</t>
        </is>
      </c>
      <c r="U4" s="39" t="inlineStr">
        <is>
          <t>디바이스</t>
        </is>
      </c>
      <c r="V4" s="39" t="inlineStr">
        <is>
          <t>캠페인</t>
        </is>
      </c>
      <c r="W4" s="39" t="inlineStr">
        <is>
          <t>광고그룹</t>
        </is>
      </c>
      <c r="X4" s="39" t="inlineStr">
        <is>
          <t>키워드/이미지</t>
        </is>
      </c>
      <c r="Y4" s="101" t="inlineStr">
        <is>
          <t>노출수</t>
        </is>
      </c>
      <c r="Z4" s="101" t="inlineStr">
        <is>
          <t>클릭수</t>
        </is>
      </c>
      <c r="AA4" s="102" t="inlineStr">
        <is>
          <t>광고비 (부가세 미포함)</t>
        </is>
      </c>
      <c r="AB4" s="101" t="inlineStr">
        <is>
          <t>구매완료</t>
        </is>
      </c>
      <c r="AC4" s="101" t="inlineStr">
        <is>
          <t>신청/문의</t>
        </is>
      </c>
      <c r="AD4" s="101" t="inlineStr">
        <is>
          <t>회원가입</t>
        </is>
      </c>
      <c r="AE4" s="101" t="inlineStr">
        <is>
          <t>전환매출액</t>
        </is>
      </c>
      <c r="AF4" s="103" t="inlineStr">
        <is>
          <t>SA_유형</t>
        </is>
      </c>
      <c r="AG4" s="103" t="inlineStr">
        <is>
          <t>SA_카테고리</t>
        </is>
      </c>
    </row>
    <row r="5">
      <c r="A5" s="76" t="n">
        <v>46203</v>
      </c>
      <c r="B5" s="35" t="inlineStr">
        <is>
          <t>[22-03] SA_PC 캠페인</t>
        </is>
      </c>
      <c r="C5" s="35" t="inlineStr">
        <is>
          <t>가정_문영은</t>
        </is>
      </c>
      <c r="D5" s="35" t="n">
        <v>1</v>
      </c>
      <c r="E5" s="35" t="n">
        <v>1</v>
      </c>
      <c r="F5" s="35" t="n">
        <v>9</v>
      </c>
      <c r="G5" s="35" t="n">
        <v>0</v>
      </c>
      <c r="H5" s="35" t="n">
        <v>0</v>
      </c>
      <c r="J5" s="76">
        <f>A5</f>
        <v/>
      </c>
      <c r="K5" s="76">
        <f>B5</f>
        <v/>
      </c>
      <c r="L5" s="76">
        <f>C5</f>
        <v/>
      </c>
      <c r="M5" s="35">
        <f>SUMIFS(구글RAW!G:G,구글RAW!$B:$B,구글_확장검색!$J5,구글RAW!$D:$D,구글_확장검색!$K5,구글RAW!$E:$E,구글_확장검색!$L5)</f>
        <v/>
      </c>
      <c r="N5" s="35">
        <f>SUMIFS(구글RAW!H:H,구글RAW!$B:$B,구글_확장검색!$J5,구글RAW!$D:$D,구글_확장검색!$K5,구글RAW!$E:$E,구글_확장검색!$L5)</f>
        <v/>
      </c>
      <c r="O5" s="35">
        <f>SUMIFS(구글RAW!I:I,구글RAW!$B:$B,구글_확장검색!$J5,구글RAW!$D:$D,구글_확장검색!$K5,구글RAW!$E:$E,구글_확장검색!$L5)</f>
        <v/>
      </c>
      <c r="P5" s="35">
        <f>G5</f>
        <v/>
      </c>
      <c r="Q5" s="35">
        <f>H5</f>
        <v/>
      </c>
      <c r="S5" s="35" t="inlineStr">
        <is>
          <t>구글</t>
        </is>
      </c>
      <c r="T5" s="76">
        <f>J5</f>
        <v/>
      </c>
      <c r="U5" s="35">
        <f>IF(ISNUMBER(SEARCH("pc", V5)), "PC", IF(ISNUMBER(SEARCH("mo", V5)), "MO", ""))</f>
        <v/>
      </c>
      <c r="V5" s="76">
        <f>K5</f>
        <v/>
      </c>
      <c r="W5" s="76">
        <f>L5</f>
        <v/>
      </c>
      <c r="X5" s="35" t="inlineStr">
        <is>
          <t>확장검색</t>
        </is>
      </c>
      <c r="Y5" s="35">
        <f>D5-M5</f>
        <v/>
      </c>
      <c r="Z5" s="35">
        <f>E5-N5</f>
        <v/>
      </c>
      <c r="AA5" s="35">
        <f>(F5-O5)</f>
        <v/>
      </c>
      <c r="AB5" s="35" t="n">
        <v>0</v>
      </c>
      <c r="AC5" s="35" t="n">
        <v>0</v>
      </c>
      <c r="AD5" s="35" t="n">
        <v>0</v>
      </c>
      <c r="AE5" s="35" t="n">
        <v>0</v>
      </c>
      <c r="AF5" s="35" t="inlineStr">
        <is>
          <t>확장검색</t>
        </is>
      </c>
      <c r="AG5" s="76">
        <f>VLOOKUP(W5,SA기준!$B$2:$C$300,2,0)</f>
        <v/>
      </c>
    </row>
  </sheetData>
  <mergeCells count="3">
    <mergeCell ref="J3:Q3"/>
    <mergeCell ref="A3:H3"/>
    <mergeCell ref="S3:AG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8">
    <tabColor theme="4"/>
    <outlinePr summaryBelow="1" summaryRight="1"/>
    <pageSetUpPr/>
  </sheetPr>
  <dimension ref="A2:J6"/>
  <sheetViews>
    <sheetView showGridLines="0" zoomScale="85" zoomScaleNormal="85" workbookViewId="0">
      <selection activeCell="A6" sqref="A6:H9"/>
    </sheetView>
  </sheetViews>
  <sheetFormatPr baseColWidth="8" defaultRowHeight="16.5"/>
  <cols>
    <col width="11.125" bestFit="1" customWidth="1" style="3" min="1" max="1"/>
    <col width="11.125" customWidth="1" style="3" min="2" max="2"/>
    <col width="29.5" customWidth="1" min="3" max="3"/>
    <col width="30.875" bestFit="1" customWidth="1" min="4" max="4"/>
    <col width="29" customWidth="1" min="5" max="5"/>
    <col width="45.375" customWidth="1" min="6" max="6"/>
    <col width="14.5" customWidth="1" min="7" max="7"/>
    <col width="13.375" customWidth="1" min="8" max="8"/>
    <col width="33.625" customWidth="1" min="9" max="9"/>
    <col width="7.125" customWidth="1" min="10" max="10"/>
  </cols>
  <sheetData>
    <row r="2">
      <c r="H2" s="18" t="inlineStr">
        <is>
          <t>수식 보관함</t>
        </is>
      </c>
      <c r="I2" s="17">
        <f>CONCATENATE(A2,B2,C2,D2,E2)</f>
        <v/>
      </c>
      <c r="J2" s="17">
        <f>IFERROR(VLOOKUP(I2,구글RAW!$N:$O,2,FALSE),"미포함")</f>
        <v/>
      </c>
    </row>
    <row r="3">
      <c r="E3" s="19" t="inlineStr">
        <is>
          <t>구매</t>
        </is>
      </c>
      <c r="F3" s="19" t="inlineStr">
        <is>
          <t>상담문의완료</t>
        </is>
      </c>
      <c r="G3" s="19" t="inlineStr">
        <is>
          <t>회원가입</t>
        </is>
      </c>
      <c r="H3" s="19" t="inlineStr">
        <is>
          <t>구매</t>
        </is>
      </c>
    </row>
    <row r="4">
      <c r="D4" s="19" t="inlineStr">
        <is>
          <t>TOTAL</t>
        </is>
      </c>
      <c r="E4" s="20">
        <f>SUMIF($F$5:$F$2999, E$3, $G$5:$G$2999)</f>
        <v/>
      </c>
      <c r="F4" s="20">
        <f>SUMIF($F$5:$F$2999, F$3, $G$5:$G$2999)</f>
        <v/>
      </c>
      <c r="G4" s="20">
        <f>SUMIF($F$5:$F$2999, G$3, $G$5:$G$2999)</f>
        <v/>
      </c>
      <c r="H4" s="20">
        <f>SUMIF($F$5:$F$2999, H$3, $H$5:$H$2999)</f>
        <v/>
      </c>
    </row>
    <row r="5">
      <c r="A5" s="22" t="inlineStr">
        <is>
          <t>날짜</t>
        </is>
      </c>
      <c r="B5" s="22" t="inlineStr">
        <is>
          <t>기기</t>
        </is>
      </c>
      <c r="C5" s="21" t="inlineStr">
        <is>
          <t>캠페인</t>
        </is>
      </c>
      <c r="D5" s="21" t="inlineStr">
        <is>
          <t>광고그룹</t>
        </is>
      </c>
      <c r="E5" s="21" t="inlineStr">
        <is>
          <t>키워드</t>
        </is>
      </c>
      <c r="F5" s="21" t="inlineStr">
        <is>
          <t>전환유형</t>
        </is>
      </c>
      <c r="G5" s="21" t="inlineStr">
        <is>
          <t>전환수</t>
        </is>
      </c>
      <c r="H5" s="21" t="inlineStr">
        <is>
          <t>전환매출액</t>
        </is>
      </c>
      <c r="I5" s="25" t="inlineStr">
        <is>
          <t>CONCATENATE</t>
        </is>
      </c>
      <c r="J5" s="25" t="inlineStr">
        <is>
          <t>구분</t>
        </is>
      </c>
    </row>
    <row r="6">
      <c r="A6" s="27" t="n">
        <v>46203</v>
      </c>
      <c r="B6" s="26" t="inlineStr">
        <is>
          <t>컴퓨터</t>
        </is>
      </c>
      <c r="C6" s="26" t="inlineStr">
        <is>
          <t>[22-03] SA_PC 캠페인</t>
        </is>
      </c>
      <c r="D6" s="26" t="inlineStr">
        <is>
          <t>브랜드</t>
        </is>
      </c>
      <c r="E6" s="26" t="inlineStr">
        <is>
          <t>희소쌤플러스</t>
        </is>
      </c>
      <c r="F6" s="26" t="inlineStr">
        <is>
          <t>구매</t>
        </is>
      </c>
      <c r="G6" s="26" t="n">
        <v>6</v>
      </c>
      <c r="H6" s="38" t="n">
        <v>4235400</v>
      </c>
      <c r="I6" s="35">
        <f>CONCATENATE(A6,B6,C6,D6,E6)</f>
        <v/>
      </c>
      <c r="J6" s="35">
        <f>IFERROR(VLOOKUP(I6,구글RAW!$N$6:$O$1048576,2,FALSE),"미포함")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9">
    <tabColor theme="7"/>
    <outlinePr summaryBelow="1" summaryRight="1"/>
    <pageSetUpPr/>
  </sheetPr>
  <dimension ref="A3:N6"/>
  <sheetViews>
    <sheetView showGridLines="0" zoomScale="85" zoomScaleNormal="85" workbookViewId="0">
      <selection activeCell="M20" sqref="M20:M65"/>
    </sheetView>
  </sheetViews>
  <sheetFormatPr baseColWidth="8" defaultRowHeight="16.5"/>
  <cols>
    <col width="11.5" customWidth="1" min="1" max="1"/>
    <col width="16.5" customWidth="1" style="3" min="2" max="2"/>
    <col width="11.25" customWidth="1" min="3" max="3"/>
    <col width="11.125" bestFit="1" customWidth="1" style="3" min="4" max="4"/>
    <col width="22" customWidth="1" style="3" min="5" max="5"/>
    <col width="30.875" bestFit="1" customWidth="1" min="6" max="6"/>
    <col width="10.875" bestFit="1" customWidth="1" style="95" min="7" max="7"/>
    <col width="7.125" customWidth="1" style="95" min="8" max="8"/>
    <col width="10.875" customWidth="1" style="95" min="9" max="9"/>
    <col width="14.75" customWidth="1" min="10" max="13"/>
    <col width="13" bestFit="1" customWidth="1" min="14" max="14"/>
  </cols>
  <sheetData>
    <row r="3">
      <c r="M3" s="18" t="inlineStr">
        <is>
          <t>수식 보관함</t>
        </is>
      </c>
      <c r="N3" s="18">
        <f>VLOOKUP(E3,SA기준!B:C,2,)</f>
        <v/>
      </c>
    </row>
    <row r="4">
      <c r="F4" s="19" t="inlineStr">
        <is>
          <t>TOTAL</t>
        </is>
      </c>
      <c r="G4" s="20">
        <f>SUM(G6:G99999)</f>
        <v/>
      </c>
      <c r="H4" s="20">
        <f>SUM(H6:H99999)</f>
        <v/>
      </c>
      <c r="I4" s="20">
        <f>SUM(I6:I99999)</f>
        <v/>
      </c>
      <c r="J4" s="20">
        <f>SUM(J6:J99999)</f>
        <v/>
      </c>
      <c r="K4" s="20">
        <f>SUM(K6:K99999)</f>
        <v/>
      </c>
      <c r="L4" s="20">
        <f>SUM(L6:L99999)</f>
        <v/>
      </c>
      <c r="M4" s="20">
        <f>SUM(M6:M99999)</f>
        <v/>
      </c>
    </row>
    <row r="5" ht="16.5" customHeight="1">
      <c r="A5" s="22" t="inlineStr">
        <is>
          <t>검색/콘텐츠</t>
        </is>
      </c>
      <c r="B5" s="22" t="inlineStr">
        <is>
          <t>날짜</t>
        </is>
      </c>
      <c r="C5" s="22" t="inlineStr">
        <is>
          <t>비즈채널명</t>
        </is>
      </c>
      <c r="D5" s="22" t="inlineStr">
        <is>
          <t>캠페인</t>
        </is>
      </c>
      <c r="E5" s="22" t="inlineStr">
        <is>
          <t>광고그룹</t>
        </is>
      </c>
      <c r="F5" s="21" t="inlineStr">
        <is>
          <t>키워드</t>
        </is>
      </c>
      <c r="G5" s="96" t="inlineStr">
        <is>
          <t>노출수</t>
        </is>
      </c>
      <c r="H5" s="96" t="inlineStr">
        <is>
          <t>클릭수</t>
        </is>
      </c>
      <c r="I5" s="96" t="inlineStr">
        <is>
          <t>비용</t>
        </is>
      </c>
      <c r="J5" s="30" t="inlineStr">
        <is>
          <t>구매완료</t>
        </is>
      </c>
      <c r="K5" s="30" t="inlineStr">
        <is>
          <t>신청/문의</t>
        </is>
      </c>
      <c r="L5" s="30" t="inlineStr">
        <is>
          <t>회원가입</t>
        </is>
      </c>
      <c r="M5" s="30" t="inlineStr">
        <is>
          <t>구매완료매출액</t>
        </is>
      </c>
      <c r="N5" s="25" t="inlineStr">
        <is>
          <t>SA_카테고리</t>
        </is>
      </c>
    </row>
    <row r="6">
      <c r="A6" s="26" t="inlineStr">
        <is>
          <t>프리미엄링크</t>
        </is>
      </c>
      <c r="B6" s="27" t="n">
        <v>46203</v>
      </c>
      <c r="C6" s="26" t="inlineStr">
        <is>
          <t>MO</t>
        </is>
      </c>
      <c r="D6" s="26" t="inlineStr">
        <is>
          <t>mo캠페인</t>
        </is>
      </c>
      <c r="E6" s="26" t="inlineStr">
        <is>
          <t>중고등교사</t>
        </is>
      </c>
      <c r="F6" s="26" t="inlineStr">
        <is>
          <t>고등학교교사연봉</t>
        </is>
      </c>
      <c r="G6" s="26" t="n">
        <v>1</v>
      </c>
      <c r="H6" s="26" t="n">
        <v>0</v>
      </c>
      <c r="I6" s="26" t="n">
        <v>0</v>
      </c>
      <c r="J6" s="26" t="n">
        <v>0</v>
      </c>
      <c r="K6" s="26" t="n">
        <v>0</v>
      </c>
      <c r="L6" s="26" t="n">
        <v>0</v>
      </c>
      <c r="M6" s="26" t="n">
        <v>0</v>
      </c>
      <c r="N6" s="35">
        <f>VLOOKUP(E6,SA기준!B:C,2,)</f>
        <v/>
      </c>
    </row>
  </sheetData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10">
    <tabColor theme="6"/>
    <outlinePr summaryBelow="1" summaryRight="1"/>
    <pageSetUpPr/>
  </sheetPr>
  <dimension ref="A1:S6"/>
  <sheetViews>
    <sheetView showGridLines="0" zoomScale="70" zoomScaleNormal="70" workbookViewId="0">
      <selection activeCell="Q6" sqref="Q6"/>
    </sheetView>
  </sheetViews>
  <sheetFormatPr baseColWidth="8" defaultRowHeight="16.5"/>
  <cols>
    <col width="15.125" bestFit="1" customWidth="1" min="1" max="1"/>
    <col width="15.625" bestFit="1" customWidth="1" min="2" max="2"/>
    <col width="11.375" bestFit="1" customWidth="1" min="3" max="3"/>
    <col width="12.25" bestFit="1" customWidth="1" style="3" min="4" max="4"/>
    <col width="9.25" bestFit="1" customWidth="1" min="5" max="5"/>
    <col width="22.25" bestFit="1" customWidth="1" min="6" max="6"/>
    <col width="20.125" bestFit="1" customWidth="1" min="7" max="7"/>
    <col width="29.375" bestFit="1" customWidth="1" min="8" max="8"/>
    <col width="8.375" bestFit="1" customWidth="1" style="95" min="9" max="10"/>
    <col width="11.75" bestFit="1" customWidth="1" style="95" min="11" max="11"/>
    <col width="12.625" customWidth="1" min="12" max="14"/>
    <col width="17.75" customWidth="1" min="15" max="15"/>
    <col width="12.625" bestFit="1" customWidth="1" min="18" max="18"/>
    <col width="11.625" customWidth="1" min="19" max="19"/>
    <col width="13" bestFit="1" customWidth="1" min="20" max="20"/>
    <col width="13.625" customWidth="1" min="22" max="22"/>
    <col width="18.25" customWidth="1" min="23" max="23"/>
  </cols>
  <sheetData>
    <row r="1">
      <c r="L1" s="95" t="n"/>
      <c r="M1" s="95" t="n"/>
      <c r="N1" s="95" t="n"/>
      <c r="O1" s="95" t="n"/>
    </row>
    <row r="2">
      <c r="A2" s="18">
        <f>VLOOKUP($G2,DA기준!$B$2:$G$99,2,0)</f>
        <v/>
      </c>
      <c r="B2" s="18">
        <f>VLOOKUP($G2,DA기준!$B$2:$G$99,3,0)</f>
        <v/>
      </c>
      <c r="C2" s="18">
        <f>VLOOKUP($G2,DA기준!$B$2:$G$99,4,0)</f>
        <v/>
      </c>
      <c r="G2" s="18">
        <f>$F2</f>
        <v/>
      </c>
      <c r="H2" s="18">
        <f>VLOOKUP($G2,DA기준!$B$2:$G$99,5,0)</f>
        <v/>
      </c>
      <c r="I2" s="95" t="n">
        <v>0</v>
      </c>
      <c r="J2" s="95" t="n">
        <v>0</v>
      </c>
      <c r="K2" s="95" t="n">
        <v>0</v>
      </c>
      <c r="L2" s="18">
        <f>SUMIFS(PMAX전환_RAW!$E$6:$E$99958,PMAX전환_RAW!$C$6:$C$99958,$F2,PMAX전환_RAW!$A$6:$A$99958,$D2,PMAX전환_RAW!$B$6:$B$99958,$E2,PMAX전환_RAW!$D$6:$D$99958,L$5)</f>
        <v/>
      </c>
      <c r="M2" s="18">
        <f>SUMIFS(PMAX전환_RAW!$E$6:$E$99958,PMAX전환_RAW!$C$6:$C$99958,$F2,PMAX전환_RAW!$A$6:$A$99958,$D2,PMAX전환_RAW!$B$6:$B$99958,$E2,PMAX전환_RAW!$D$6:$D$99958,M$5)</f>
        <v/>
      </c>
      <c r="N2" s="18">
        <f>SUMIFS(PMAX전환_RAW!$E$6:$E$99958,PMAX전환_RAW!$C$6:$C$99958,$F2,PMAX전환_RAW!$A$6:$A$99958,$D2,PMAX전환_RAW!$B$6:$B$99958,$E2,PMAX전환_RAW!$D$6:$D$99958,N$5)</f>
        <v/>
      </c>
      <c r="O2" s="18">
        <f>SUMIFS(PMAX전환_RAW!$F$6:$F$99958,PMAX전환_RAW!$C$6:$C$99958,$F2,PMAX전환_RAW!$A$6:$A$99958,$D2,PMAX전환_RAW!$B$6:$B$99958,$E2,PMAX전환_RAW!$D$6:$D$99958,O$5)</f>
        <v/>
      </c>
      <c r="P2" s="18">
        <f>CONCATENATE(D2,E2,F2)</f>
        <v/>
      </c>
      <c r="Q2" s="18" t="inlineStr">
        <is>
          <t>포함</t>
        </is>
      </c>
      <c r="R2" s="18">
        <f>VLOOKUP($G2,DA기준!$B$2:$G$99,6,0)</f>
        <v/>
      </c>
      <c r="S2" s="18">
        <f>COUNTIF(P:P, P2)</f>
        <v/>
      </c>
    </row>
    <row r="3">
      <c r="H3" s="30" t="inlineStr">
        <is>
          <t>정합성</t>
        </is>
      </c>
      <c r="I3" s="95" t="n">
        <v>0</v>
      </c>
      <c r="J3" s="95" t="n">
        <v>0</v>
      </c>
      <c r="K3" s="95" t="n">
        <v>0</v>
      </c>
      <c r="L3" s="31">
        <f>(L4+M4)=PMAX전환_RAW!E4</f>
        <v/>
      </c>
      <c r="M3" s="95" t="n"/>
      <c r="N3" s="95" t="n"/>
      <c r="O3" s="31">
        <f>O4=PMAX전환_RAW!F4</f>
        <v/>
      </c>
      <c r="S3" s="31">
        <f>COUNTIF(S6:S47553, 2)</f>
        <v/>
      </c>
    </row>
    <row r="4">
      <c r="H4" s="19" t="inlineStr">
        <is>
          <t>TOTAL</t>
        </is>
      </c>
      <c r="I4" s="20">
        <f>SUM(I6:I97552)</f>
        <v/>
      </c>
      <c r="J4" s="20">
        <f>SUM(J6:J97552)</f>
        <v/>
      </c>
      <c r="K4" s="20">
        <f>SUM(K6:K97552)</f>
        <v/>
      </c>
      <c r="L4" s="104">
        <f>SUM(L6:L97552)</f>
        <v/>
      </c>
      <c r="M4" s="104">
        <f>SUM(M6:M97552)</f>
        <v/>
      </c>
      <c r="N4" s="104">
        <f>SUM(N6:N97552)</f>
        <v/>
      </c>
      <c r="O4" s="20">
        <f>SUM(O6:O97552)</f>
        <v/>
      </c>
    </row>
    <row r="5" ht="15.75" customHeight="1">
      <c r="A5" s="105" t="inlineStr">
        <is>
          <t>DA_캠페인유형</t>
        </is>
      </c>
      <c r="B5" s="105" t="inlineStr">
        <is>
          <t>DA_타게팅 유형</t>
        </is>
      </c>
      <c r="C5" s="105" t="inlineStr">
        <is>
          <t>DA_타게팅</t>
        </is>
      </c>
      <c r="D5" s="60" t="inlineStr">
        <is>
          <t>일</t>
        </is>
      </c>
      <c r="E5" s="61" t="inlineStr">
        <is>
          <t>기기</t>
        </is>
      </c>
      <c r="F5" s="61" t="inlineStr">
        <is>
          <t>캠페인</t>
        </is>
      </c>
      <c r="G5" s="61" t="inlineStr">
        <is>
          <t>광고그룹</t>
        </is>
      </c>
      <c r="H5" s="61" t="inlineStr">
        <is>
          <t>소재</t>
        </is>
      </c>
      <c r="I5" s="106" t="inlineStr">
        <is>
          <t>노출수</t>
        </is>
      </c>
      <c r="J5" s="106" t="inlineStr">
        <is>
          <t>클릭수</t>
        </is>
      </c>
      <c r="K5" s="106" t="inlineStr">
        <is>
          <t>비용</t>
        </is>
      </c>
      <c r="L5" s="24" t="inlineStr">
        <is>
          <t>구매</t>
        </is>
      </c>
      <c r="M5" s="24" t="inlineStr">
        <is>
          <t>상담문의완료</t>
        </is>
      </c>
      <c r="N5" s="24" t="inlineStr">
        <is>
          <t>회원가입</t>
        </is>
      </c>
      <c r="O5" s="24" t="inlineStr">
        <is>
          <t>구매</t>
        </is>
      </c>
      <c r="P5" s="25" t="inlineStr">
        <is>
          <t>CONCATENATE</t>
        </is>
      </c>
      <c r="Q5" s="25" t="inlineStr">
        <is>
          <t>구분</t>
        </is>
      </c>
      <c r="R5" s="105" t="inlineStr">
        <is>
          <t>DA_카테고리</t>
        </is>
      </c>
      <c r="S5" s="75" t="inlineStr">
        <is>
          <t>중복제거</t>
        </is>
      </c>
    </row>
    <row r="6">
      <c r="A6" s="18">
        <f>VLOOKUP($G6,DA기준!$B$2:$G$99,2,0)</f>
        <v/>
      </c>
      <c r="B6" s="18">
        <f>VLOOKUP($G6,DA기준!$B$2:$G$99,3,0)</f>
        <v/>
      </c>
      <c r="C6" s="18">
        <f>VLOOKUP($G6,DA기준!$B$2:$G$99,4,0)</f>
        <v/>
      </c>
      <c r="D6" s="27" t="n"/>
      <c r="E6" s="26" t="n"/>
      <c r="F6" s="26" t="n"/>
      <c r="G6" s="18">
        <f>$F6</f>
        <v/>
      </c>
      <c r="H6" s="18">
        <f>VLOOKUP($G6,DA기준!$B$2:$G$99,5,0)</f>
        <v/>
      </c>
      <c r="I6" s="26" t="n">
        <v>0</v>
      </c>
      <c r="J6" s="26" t="n">
        <v>0</v>
      </c>
      <c r="K6" s="26" t="n">
        <v>0</v>
      </c>
      <c r="L6" s="18">
        <f>SUMIFS(PMAX전환_RAW!$E$6:$E$99958,PMAX전환_RAW!$C$6:$C$99958,$F6,PMAX전환_RAW!$A$6:$A$99958,$D6,PMAX전환_RAW!$B$6:$B$99958,$E6,PMAX전환_RAW!$D$6:$D$99958,L$5)</f>
        <v/>
      </c>
      <c r="M6" s="18">
        <f>SUMIFS(PMAX전환_RAW!$E$6:$E$99958,PMAX전환_RAW!$C$6:$C$99958,$F6,PMAX전환_RAW!$A$6:$A$99958,$D6,PMAX전환_RAW!$B$6:$B$99958,$E6,PMAX전환_RAW!$D$6:$D$99958,M$5)</f>
        <v/>
      </c>
      <c r="N6" s="18">
        <f>SUMIFS(PMAX전환_RAW!$E$6:$E$99958,PMAX전환_RAW!$C$6:$C$99958,$F6,PMAX전환_RAW!$A$6:$A$99958,$D6,PMAX전환_RAW!$B$6:$B$99958,$E6,PMAX전환_RAW!$D$6:$D$99958,N$5)</f>
        <v/>
      </c>
      <c r="O6" s="18">
        <f>SUMIFS(PMAX전환_RAW!$F$6:$F$99958,PMAX전환_RAW!$C$6:$C$99958,$F6,PMAX전환_RAW!$A$6:$A$99958,$D6,PMAX전환_RAW!$B$6:$B$99958,$E6,PMAX전환_RAW!$D$6:$D$99958,O$5)</f>
        <v/>
      </c>
      <c r="P6" s="18">
        <f>CONCATENATE(D6,E6,F6)</f>
        <v/>
      </c>
      <c r="Q6" s="18" t="inlineStr">
        <is>
          <t>포함</t>
        </is>
      </c>
      <c r="R6" s="18">
        <f>VLOOKUP($G6,DA기준!$B$2:$G$99,6,0)</f>
        <v/>
      </c>
      <c r="S6" s="18">
        <f>COUNTIF(P:P, P6)</f>
        <v/>
      </c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12">
    <tabColor theme="6"/>
    <outlinePr summaryBelow="1" summaryRight="1"/>
    <pageSetUpPr/>
  </sheetPr>
  <dimension ref="A4:H6"/>
  <sheetViews>
    <sheetView showGridLines="0" zoomScale="70" zoomScaleNormal="70" workbookViewId="0">
      <selection activeCell="Q6" sqref="Q6"/>
    </sheetView>
  </sheetViews>
  <sheetFormatPr baseColWidth="8" defaultRowHeight="16.5"/>
  <cols>
    <col width="11.125" bestFit="1" customWidth="1" style="63" min="1" max="1"/>
    <col width="20.625" bestFit="1" customWidth="1" style="63" min="2" max="2"/>
    <col width="26.75" customWidth="1" style="63" min="3" max="3"/>
    <col width="40.25" customWidth="1" style="63" min="4" max="4"/>
    <col width="33.625" bestFit="1" customWidth="1" style="63" min="5" max="5"/>
    <col width="35.375" bestFit="1" customWidth="1" style="63" min="6" max="6"/>
    <col width="17.375" customWidth="1" style="63" min="7" max="7"/>
    <col width="9" customWidth="1" style="63" min="8" max="16384"/>
  </cols>
  <sheetData>
    <row r="4">
      <c r="D4" s="19" t="inlineStr">
        <is>
          <t>TOTAL</t>
        </is>
      </c>
      <c r="E4" s="104">
        <f>SUMIF($C$4:$C$9999, "*PMAX*", $E$4:$E$9999)</f>
        <v/>
      </c>
      <c r="F4" s="20">
        <f>SUMIFS($F$4:$F$9999, $C$4:$C$9999, "*PMAX*", $D$4:$D$9999, "구매")</f>
        <v/>
      </c>
      <c r="G4" s="18">
        <f>CONCATENATE(A4,B4,C4)</f>
        <v/>
      </c>
      <c r="H4" s="18">
        <f>IFERROR(VLOOKUP(G4,PMAX_RAW!$P:$Q,2,FALSE),"미포함")</f>
        <v/>
      </c>
    </row>
    <row r="5">
      <c r="A5" s="64" t="inlineStr">
        <is>
          <t>일</t>
        </is>
      </c>
      <c r="B5" s="64" t="inlineStr">
        <is>
          <t>기기</t>
        </is>
      </c>
      <c r="C5" s="64" t="inlineStr">
        <is>
          <t>캠페인</t>
        </is>
      </c>
      <c r="D5" s="64" t="inlineStr">
        <is>
          <t>전환 액션</t>
        </is>
      </c>
      <c r="E5" s="64" t="inlineStr">
        <is>
          <t>전환</t>
        </is>
      </c>
      <c r="F5" s="64" t="inlineStr">
        <is>
          <t>전환 가치</t>
        </is>
      </c>
      <c r="G5" s="25" t="inlineStr">
        <is>
          <t>CONCATENATE</t>
        </is>
      </c>
      <c r="H5" s="25" t="inlineStr">
        <is>
          <t>구분</t>
        </is>
      </c>
    </row>
    <row r="6">
      <c r="A6" s="66" t="n"/>
      <c r="B6" s="65" t="n"/>
      <c r="C6" s="26" t="n"/>
      <c r="D6" s="78" t="n"/>
      <c r="E6" s="26" t="n"/>
      <c r="F6" s="65" t="n"/>
      <c r="G6" s="18">
        <f>CONCATENATE(A6,B6,C6)</f>
        <v/>
      </c>
      <c r="H6" s="18">
        <f>IFERROR(VLOOKUP(G6,PMAX_RAW!$P:$Q,2,FALSE),"미포함")</f>
        <v/>
      </c>
    </row>
  </sheetData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Sheet11">
    <tabColor rgb="FF7030A0"/>
    <outlinePr summaryBelow="1" summaryRight="1"/>
    <pageSetUpPr/>
  </sheetPr>
  <dimension ref="B1:G914"/>
  <sheetViews>
    <sheetView showGridLines="0" topLeftCell="A146" workbookViewId="0">
      <selection activeCell="B179" sqref="B179"/>
    </sheetView>
  </sheetViews>
  <sheetFormatPr baseColWidth="8" defaultColWidth="9" defaultRowHeight="16.5"/>
  <cols>
    <col width="9" customWidth="1" style="69" min="1" max="1"/>
    <col width="42.25" bestFit="1" customWidth="1" style="69" min="2" max="2"/>
    <col width="11.75" bestFit="1" customWidth="1" style="69" min="3" max="3"/>
    <col width="9" customWidth="1" style="69" min="4" max="5"/>
    <col width="37.375" customWidth="1" style="69" min="6" max="6"/>
    <col width="17.25" customWidth="1" style="69" min="7" max="7"/>
    <col width="9" customWidth="1" style="69" min="8" max="16384"/>
  </cols>
  <sheetData>
    <row r="1" ht="15.75" customHeight="1">
      <c r="B1" s="68" t="inlineStr">
        <is>
          <t>SA 그룹 기준</t>
        </is>
      </c>
      <c r="F1" s="68" t="inlineStr">
        <is>
          <t>JSON 수정 기준</t>
        </is>
      </c>
    </row>
    <row r="2">
      <c r="B2" s="70" t="inlineStr">
        <is>
          <t>그룹</t>
        </is>
      </c>
      <c r="C2" s="70" t="inlineStr">
        <is>
          <t>구분</t>
        </is>
      </c>
      <c r="F2" s="70" t="inlineStr">
        <is>
          <t>원본 값</t>
        </is>
      </c>
      <c r="G2" s="70" t="inlineStr">
        <is>
          <t>수정 값</t>
        </is>
      </c>
    </row>
    <row r="3">
      <c r="B3" s="71" t="inlineStr">
        <is>
          <t>공통</t>
        </is>
      </c>
      <c r="C3" s="71" t="inlineStr">
        <is>
          <t>공통</t>
        </is>
      </c>
      <c r="F3" s="71" t="inlineStr">
        <is>
          <t>구매</t>
        </is>
      </c>
      <c r="G3" s="71" t="inlineStr">
        <is>
          <t>구매</t>
        </is>
      </c>
    </row>
    <row r="4">
      <c r="B4" s="71" t="inlineStr">
        <is>
          <t>설명회</t>
        </is>
      </c>
      <c r="C4" s="71" t="inlineStr">
        <is>
          <t>공통</t>
        </is>
      </c>
      <c r="F4" s="71" t="inlineStr">
        <is>
          <t>PC_GA4(New) (web) purchase</t>
        </is>
      </c>
      <c r="G4" s="71" t="inlineStr">
        <is>
          <t>구매</t>
        </is>
      </c>
    </row>
    <row r="5">
      <c r="B5" s="71" t="inlineStr">
        <is>
          <t>인강</t>
        </is>
      </c>
      <c r="C5" s="71" t="inlineStr">
        <is>
          <t>공통</t>
        </is>
      </c>
      <c r="F5" s="71" t="inlineStr">
        <is>
          <t>상담문의완료</t>
        </is>
      </c>
      <c r="G5" s="71" t="inlineStr">
        <is>
          <t>상담문의완료</t>
        </is>
      </c>
    </row>
    <row r="6">
      <c r="B6" s="71" t="inlineStr">
        <is>
          <t>정보</t>
        </is>
      </c>
      <c r="C6" s="71" t="inlineStr">
        <is>
          <t>공통</t>
        </is>
      </c>
      <c r="F6" s="71" t="inlineStr">
        <is>
          <t>PC_GA4(New) (web) 카톡문의클릭</t>
        </is>
      </c>
      <c r="G6" s="71" t="inlineStr">
        <is>
          <t>상담문의완료</t>
        </is>
      </c>
    </row>
    <row r="7">
      <c r="B7" s="71" t="inlineStr">
        <is>
          <t>지역+임용</t>
        </is>
      </c>
      <c r="C7" s="71" t="inlineStr">
        <is>
          <t>공통</t>
        </is>
      </c>
      <c r="F7" s="71" t="inlineStr">
        <is>
          <t>PC_GA4(New) (web) 회원가입완료</t>
        </is>
      </c>
      <c r="G7" s="71" t="inlineStr">
        <is>
          <t>회원가입</t>
        </is>
      </c>
    </row>
    <row r="8">
      <c r="B8" s="35" t="inlineStr">
        <is>
          <t>경쟁사브랜드</t>
        </is>
      </c>
      <c r="C8" s="71" t="inlineStr">
        <is>
          <t>경쟁사</t>
        </is>
      </c>
      <c r="F8" s="71" t="inlineStr">
        <is>
          <t>MO_GA4(New) (web) purchase</t>
        </is>
      </c>
      <c r="G8" s="71" t="inlineStr">
        <is>
          <t>구매</t>
        </is>
      </c>
    </row>
    <row r="9">
      <c r="B9" s="71" t="inlineStr">
        <is>
          <t>초등_공통</t>
        </is>
      </c>
      <c r="C9" s="71" t="inlineStr">
        <is>
          <t>초등</t>
        </is>
      </c>
      <c r="F9" s="71" t="inlineStr">
        <is>
          <t>MO_GA4(New) (web) 카톡문의클릭</t>
        </is>
      </c>
      <c r="G9" s="71" t="inlineStr">
        <is>
          <t>상담문의완료</t>
        </is>
      </c>
    </row>
    <row r="10">
      <c r="B10" s="35" t="inlineStr">
        <is>
          <t>초등_서준혁</t>
        </is>
      </c>
      <c r="C10" s="35" t="inlineStr">
        <is>
          <t>초등</t>
        </is>
      </c>
    </row>
    <row r="11">
      <c r="B11" s="35" t="inlineStr">
        <is>
          <t>중고등교사</t>
        </is>
      </c>
      <c r="C11" s="35" t="inlineStr">
        <is>
          <t>중등</t>
        </is>
      </c>
    </row>
    <row r="12">
      <c r="B12" s="35" t="inlineStr">
        <is>
          <t>유아_공통</t>
        </is>
      </c>
      <c r="C12" s="35" t="inlineStr">
        <is>
          <t>유아</t>
        </is>
      </c>
    </row>
    <row r="13">
      <c r="B13" s="35" t="inlineStr">
        <is>
          <t>유아_배지윤</t>
        </is>
      </c>
      <c r="C13" s="35" t="inlineStr">
        <is>
          <t>유아</t>
        </is>
      </c>
    </row>
    <row r="14">
      <c r="B14" s="35" t="inlineStr">
        <is>
          <t>유아_배지윤_경쟁사</t>
        </is>
      </c>
      <c r="C14" s="35" t="inlineStr">
        <is>
          <t>유아</t>
        </is>
      </c>
    </row>
    <row r="15">
      <c r="B15" s="35" t="inlineStr">
        <is>
          <t>유아_이동건</t>
        </is>
      </c>
      <c r="C15" s="35" t="inlineStr">
        <is>
          <t>유아</t>
        </is>
      </c>
    </row>
    <row r="16">
      <c r="B16" s="35" t="inlineStr">
        <is>
          <t>유아_이동건N수생</t>
        </is>
      </c>
      <c r="C16" s="35" t="inlineStr">
        <is>
          <t>유아</t>
        </is>
      </c>
    </row>
    <row r="17">
      <c r="B17" s="35" t="inlineStr">
        <is>
          <t>유아_강한나</t>
        </is>
      </c>
      <c r="C17" s="35" t="inlineStr">
        <is>
          <t>유아</t>
        </is>
      </c>
    </row>
    <row r="18">
      <c r="B18" s="35" t="inlineStr">
        <is>
          <t>유아확정공고_신규</t>
        </is>
      </c>
      <c r="C18" s="35" t="inlineStr">
        <is>
          <t>유아</t>
        </is>
      </c>
    </row>
    <row r="19">
      <c r="B19" s="35" t="inlineStr">
        <is>
          <t>유아확정공고_신규2</t>
        </is>
      </c>
      <c r="C19" s="35" t="inlineStr">
        <is>
          <t>유아</t>
        </is>
      </c>
    </row>
    <row r="20">
      <c r="B20" s="35" t="inlineStr">
        <is>
          <t>가정_문영은</t>
        </is>
      </c>
      <c r="C20" s="35" t="inlineStr">
        <is>
          <t>가정</t>
        </is>
      </c>
    </row>
    <row r="21">
      <c r="B21" s="35" t="inlineStr">
        <is>
          <t>과교론_김창만</t>
        </is>
      </c>
      <c r="C21" s="35" t="inlineStr">
        <is>
          <t>과교론</t>
        </is>
      </c>
    </row>
    <row r="22">
      <c r="B22" s="35" t="inlineStr">
        <is>
          <t>교육학_공통</t>
        </is>
      </c>
      <c r="C22" s="35" t="inlineStr">
        <is>
          <t>교육학</t>
        </is>
      </c>
    </row>
    <row r="23">
      <c r="B23" s="35" t="inlineStr">
        <is>
          <t>교육학_권구현</t>
        </is>
      </c>
      <c r="C23" s="35" t="inlineStr">
        <is>
          <t>교육학</t>
        </is>
      </c>
    </row>
    <row r="24">
      <c r="B24" s="26" t="inlineStr">
        <is>
          <t>교육학_김현</t>
        </is>
      </c>
      <c r="C24" s="26" t="inlineStr">
        <is>
          <t>교육학</t>
        </is>
      </c>
    </row>
    <row r="25">
      <c r="B25" s="26" t="inlineStr">
        <is>
          <t>교육학_김현_경쟁사</t>
        </is>
      </c>
      <c r="C25" s="26" t="inlineStr">
        <is>
          <t>교육학</t>
        </is>
      </c>
    </row>
    <row r="26">
      <c r="B26" s="35" t="inlineStr">
        <is>
          <t>교육학_신태식</t>
        </is>
      </c>
      <c r="C26" s="35" t="inlineStr">
        <is>
          <t>교육학</t>
        </is>
      </c>
    </row>
    <row r="27">
      <c r="B27" s="35" t="inlineStr">
        <is>
          <t>교육학_우성수</t>
        </is>
      </c>
      <c r="C27" s="35" t="inlineStr">
        <is>
          <t>교육학</t>
        </is>
      </c>
    </row>
    <row r="28">
      <c r="B28" s="35" t="inlineStr">
        <is>
          <t>교육학_윤중샘</t>
        </is>
      </c>
      <c r="C28" s="35" t="inlineStr">
        <is>
          <t>교육학</t>
        </is>
      </c>
    </row>
    <row r="29">
      <c r="B29" s="35" t="inlineStr">
        <is>
          <t>교육학_이태하</t>
        </is>
      </c>
      <c r="C29" s="35" t="inlineStr">
        <is>
          <t>교육학</t>
        </is>
      </c>
    </row>
    <row r="30">
      <c r="B30" s="35" t="inlineStr">
        <is>
          <t>교육학_홍시현</t>
        </is>
      </c>
      <c r="C30" s="35" t="inlineStr">
        <is>
          <t>교육학</t>
        </is>
      </c>
    </row>
    <row r="31">
      <c r="B31" s="35" t="inlineStr">
        <is>
          <t>국어_공통</t>
        </is>
      </c>
      <c r="C31" s="35" t="inlineStr">
        <is>
          <t>국어</t>
        </is>
      </c>
    </row>
    <row r="32">
      <c r="B32" s="35" t="inlineStr">
        <is>
          <t>국어_김윤문</t>
        </is>
      </c>
      <c r="C32" s="35" t="inlineStr">
        <is>
          <t>국어</t>
        </is>
      </c>
    </row>
    <row r="33">
      <c r="B33" s="35" t="inlineStr">
        <is>
          <t>국어_김준</t>
        </is>
      </c>
      <c r="C33" s="35" t="inlineStr">
        <is>
          <t>국어</t>
        </is>
      </c>
    </row>
    <row r="34">
      <c r="B34" s="35" t="inlineStr">
        <is>
          <t>국어_박노송</t>
        </is>
      </c>
      <c r="C34" s="35" t="inlineStr">
        <is>
          <t>국어</t>
        </is>
      </c>
    </row>
    <row r="35">
      <c r="B35" s="35" t="inlineStr">
        <is>
          <t>국어_송헌</t>
        </is>
      </c>
      <c r="C35" s="35" t="inlineStr">
        <is>
          <t>국어</t>
        </is>
      </c>
    </row>
    <row r="36">
      <c r="B36" s="35" t="inlineStr">
        <is>
          <t>국어_정동해</t>
        </is>
      </c>
      <c r="C36" s="35" t="inlineStr">
        <is>
          <t>국어</t>
        </is>
      </c>
    </row>
    <row r="37">
      <c r="B37" s="35" t="inlineStr">
        <is>
          <t>국어_한창민</t>
        </is>
      </c>
      <c r="C37" s="35" t="inlineStr">
        <is>
          <t>국어</t>
        </is>
      </c>
    </row>
    <row r="38">
      <c r="B38" s="35" t="inlineStr">
        <is>
          <t>논술_공통</t>
        </is>
      </c>
      <c r="C38" s="35" t="inlineStr">
        <is>
          <t>논술</t>
        </is>
      </c>
    </row>
    <row r="39">
      <c r="B39" s="35" t="inlineStr">
        <is>
          <t>대구분원</t>
        </is>
      </c>
      <c r="C39" s="35" t="inlineStr">
        <is>
          <t>대구분원</t>
        </is>
      </c>
    </row>
    <row r="40">
      <c r="B40" s="35" t="inlineStr">
        <is>
          <t>도덕_김성무</t>
        </is>
      </c>
      <c r="C40" s="35" t="inlineStr">
        <is>
          <t>도덕</t>
        </is>
      </c>
    </row>
    <row r="41">
      <c r="B41" s="35" t="inlineStr">
        <is>
          <t>면접_양재웅</t>
        </is>
      </c>
      <c r="C41" s="35" t="inlineStr">
        <is>
          <t>면접</t>
        </is>
      </c>
    </row>
    <row r="42">
      <c r="B42" s="35" t="inlineStr">
        <is>
          <t>물리_한창민</t>
        </is>
      </c>
      <c r="C42" s="35" t="inlineStr">
        <is>
          <t>물리</t>
        </is>
      </c>
    </row>
    <row r="43">
      <c r="B43" s="35" t="inlineStr">
        <is>
          <t>물리_공통</t>
        </is>
      </c>
      <c r="C43" s="35" t="inlineStr">
        <is>
          <t>물리</t>
        </is>
      </c>
    </row>
    <row r="44">
      <c r="B44" s="35" t="inlineStr">
        <is>
          <t>물리_윤형식</t>
        </is>
      </c>
      <c r="C44" s="35" t="inlineStr">
        <is>
          <t>물리</t>
        </is>
      </c>
    </row>
    <row r="45">
      <c r="B45" s="35" t="inlineStr">
        <is>
          <t>물리_최민영</t>
        </is>
      </c>
      <c r="C45" s="35" t="inlineStr">
        <is>
          <t>물리</t>
        </is>
      </c>
    </row>
    <row r="46">
      <c r="B46" s="35" t="inlineStr">
        <is>
          <t>미술_공통</t>
        </is>
      </c>
      <c r="C46" s="35" t="inlineStr">
        <is>
          <t>미술</t>
        </is>
      </c>
    </row>
    <row r="47">
      <c r="B47" s="35" t="inlineStr">
        <is>
          <t>미술_위상팀</t>
        </is>
      </c>
      <c r="C47" s="35" t="inlineStr">
        <is>
          <t>미술</t>
        </is>
      </c>
    </row>
    <row r="48">
      <c r="B48" s="35" t="inlineStr">
        <is>
          <t>미술_장동익</t>
        </is>
      </c>
      <c r="C48" s="35" t="inlineStr">
        <is>
          <t>미술</t>
        </is>
      </c>
    </row>
    <row r="49">
      <c r="B49" s="35" t="inlineStr">
        <is>
          <t>미용_이영미</t>
        </is>
      </c>
      <c r="C49" s="35" t="inlineStr">
        <is>
          <t>미용</t>
        </is>
      </c>
    </row>
    <row r="50">
      <c r="B50" s="35" t="inlineStr">
        <is>
          <t>보건_공통</t>
        </is>
      </c>
      <c r="C50" s="35" t="inlineStr">
        <is>
          <t>보건</t>
        </is>
      </c>
    </row>
    <row r="51">
      <c r="B51" s="35" t="inlineStr">
        <is>
          <t>보건_김기영</t>
        </is>
      </c>
      <c r="C51" s="35" t="inlineStr">
        <is>
          <t>보건</t>
        </is>
      </c>
    </row>
    <row r="52">
      <c r="B52" s="35" t="inlineStr">
        <is>
          <t>보건_임수진</t>
        </is>
      </c>
      <c r="C52" s="35" t="inlineStr">
        <is>
          <t>보건</t>
        </is>
      </c>
    </row>
    <row r="53">
      <c r="B53" s="35" t="inlineStr">
        <is>
          <t>사서_이지현</t>
        </is>
      </c>
      <c r="C53" s="35" t="inlineStr">
        <is>
          <t>사서</t>
        </is>
      </c>
    </row>
    <row r="54">
      <c r="B54" s="35" t="inlineStr">
        <is>
          <t>상담_이진영</t>
        </is>
      </c>
      <c r="C54" s="35" t="inlineStr">
        <is>
          <t>상담</t>
        </is>
      </c>
    </row>
    <row r="55">
      <c r="B55" s="35" t="inlineStr">
        <is>
          <t>생물_이영렬</t>
        </is>
      </c>
      <c r="C55" s="35" t="inlineStr">
        <is>
          <t>생물</t>
        </is>
      </c>
    </row>
    <row r="56">
      <c r="B56" s="35" t="inlineStr">
        <is>
          <t>생물_엄은미</t>
        </is>
      </c>
      <c r="C56" s="35" t="inlineStr">
        <is>
          <t>생물</t>
        </is>
      </c>
    </row>
    <row r="57">
      <c r="B57" s="35" t="inlineStr">
        <is>
          <t>수학_공통</t>
        </is>
      </c>
      <c r="C57" s="35" t="inlineStr">
        <is>
          <t>수학</t>
        </is>
      </c>
    </row>
    <row r="58">
      <c r="B58" s="35" t="inlineStr">
        <is>
          <t>수학_김양희</t>
        </is>
      </c>
      <c r="C58" s="35" t="inlineStr">
        <is>
          <t>수학</t>
        </is>
      </c>
    </row>
    <row r="59">
      <c r="B59" s="71" t="inlineStr">
        <is>
          <t>수학_김지혜</t>
        </is>
      </c>
      <c r="C59" s="71" t="inlineStr">
        <is>
          <t>수학</t>
        </is>
      </c>
    </row>
    <row r="60">
      <c r="B60" s="71" t="inlineStr">
        <is>
          <t>수학_박재우</t>
        </is>
      </c>
      <c r="C60" s="71" t="inlineStr">
        <is>
          <t>수학</t>
        </is>
      </c>
    </row>
    <row r="61">
      <c r="B61" s="35" t="inlineStr">
        <is>
          <t>수학_이정훈</t>
        </is>
      </c>
      <c r="C61" s="35" t="inlineStr">
        <is>
          <t>수학</t>
        </is>
      </c>
    </row>
    <row r="62">
      <c r="B62" s="35" t="inlineStr">
        <is>
          <t>수학_최석민</t>
        </is>
      </c>
      <c r="C62" s="35" t="inlineStr">
        <is>
          <t>수학</t>
        </is>
      </c>
    </row>
    <row r="63">
      <c r="B63" s="35" t="inlineStr">
        <is>
          <t>역사_공통</t>
        </is>
      </c>
      <c r="C63" s="35" t="inlineStr">
        <is>
          <t>역사</t>
        </is>
      </c>
    </row>
    <row r="64">
      <c r="B64" s="35" t="inlineStr">
        <is>
          <t>역사_김정현</t>
        </is>
      </c>
      <c r="C64" s="35" t="inlineStr">
        <is>
          <t>역사</t>
        </is>
      </c>
    </row>
    <row r="65">
      <c r="B65" s="35" t="inlineStr">
        <is>
          <t>역사_반철진</t>
        </is>
      </c>
      <c r="C65" s="35" t="inlineStr">
        <is>
          <t>역사</t>
        </is>
      </c>
    </row>
    <row r="66">
      <c r="B66" s="35" t="inlineStr">
        <is>
          <t>역사_스누팀</t>
        </is>
      </c>
      <c r="C66" s="35" t="inlineStr">
        <is>
          <t>역사</t>
        </is>
      </c>
    </row>
    <row r="67">
      <c r="B67" s="35" t="inlineStr">
        <is>
          <t>역사_윤상환</t>
        </is>
      </c>
      <c r="C67" s="35" t="inlineStr">
        <is>
          <t>역사</t>
        </is>
      </c>
    </row>
    <row r="68">
      <c r="B68" s="35" t="inlineStr">
        <is>
          <t>역사_이순권</t>
        </is>
      </c>
      <c r="C68" s="35" t="inlineStr">
        <is>
          <t>역사</t>
        </is>
      </c>
    </row>
    <row r="69">
      <c r="B69" s="35" t="inlineStr">
        <is>
          <t>역사_이종길</t>
        </is>
      </c>
      <c r="C69" s="35" t="inlineStr">
        <is>
          <t>역사</t>
        </is>
      </c>
    </row>
    <row r="70">
      <c r="B70" s="35" t="inlineStr">
        <is>
          <t>역사_진용팀</t>
        </is>
      </c>
      <c r="C70" s="35" t="inlineStr">
        <is>
          <t>역사</t>
        </is>
      </c>
    </row>
    <row r="71">
      <c r="B71" s="35" t="inlineStr">
        <is>
          <t>영양_배미애</t>
        </is>
      </c>
      <c r="C71" s="35" t="inlineStr">
        <is>
          <t>영양</t>
        </is>
      </c>
    </row>
    <row r="72">
      <c r="B72" s="35" t="inlineStr">
        <is>
          <t>영양_이금주</t>
        </is>
      </c>
      <c r="C72" s="35" t="inlineStr">
        <is>
          <t>영양</t>
        </is>
      </c>
    </row>
    <row r="73">
      <c r="B73" s="35" t="inlineStr">
        <is>
          <t>영양_이연주</t>
        </is>
      </c>
      <c r="C73" s="35" t="inlineStr">
        <is>
          <t>영양</t>
        </is>
      </c>
    </row>
    <row r="74">
      <c r="B74" s="35" t="inlineStr">
        <is>
          <t>영양_플러스팀</t>
        </is>
      </c>
      <c r="C74" s="35" t="inlineStr">
        <is>
          <t>영양</t>
        </is>
      </c>
    </row>
    <row r="75">
      <c r="B75" s="35" t="inlineStr">
        <is>
          <t>영어_공통</t>
        </is>
      </c>
      <c r="C75" s="35" t="inlineStr">
        <is>
          <t>영어</t>
        </is>
      </c>
    </row>
    <row r="76">
      <c r="B76" s="35" t="inlineStr">
        <is>
          <t>영어_미쉘김</t>
        </is>
      </c>
      <c r="C76" s="35" t="inlineStr">
        <is>
          <t>영어</t>
        </is>
      </c>
    </row>
    <row r="77">
      <c r="B77" s="35" t="inlineStr">
        <is>
          <t>영어_조셉신</t>
        </is>
      </c>
      <c r="C77" s="35" t="inlineStr">
        <is>
          <t>영어</t>
        </is>
      </c>
    </row>
    <row r="78">
      <c r="B78" s="35" t="inlineStr">
        <is>
          <t>영어_차류쉘팀</t>
        </is>
      </c>
      <c r="C78" s="35" t="inlineStr">
        <is>
          <t>영어</t>
        </is>
      </c>
    </row>
    <row r="79">
      <c r="B79" s="35" t="inlineStr">
        <is>
          <t>영어_케빈신</t>
        </is>
      </c>
      <c r="C79" s="35" t="inlineStr">
        <is>
          <t>영어</t>
        </is>
      </c>
    </row>
    <row r="80">
      <c r="B80" s="35" t="inlineStr">
        <is>
          <t>음악_공통</t>
        </is>
      </c>
      <c r="C80" s="35" t="inlineStr">
        <is>
          <t>음악</t>
        </is>
      </c>
    </row>
    <row r="81">
      <c r="B81" s="35" t="inlineStr">
        <is>
          <t>음악_김남주</t>
        </is>
      </c>
      <c r="C81" s="35" t="inlineStr">
        <is>
          <t>음악</t>
        </is>
      </c>
    </row>
    <row r="82">
      <c r="B82" s="35" t="inlineStr">
        <is>
          <t>음악_서민정</t>
        </is>
      </c>
      <c r="C82" s="35" t="inlineStr">
        <is>
          <t>음악</t>
        </is>
      </c>
    </row>
    <row r="83">
      <c r="B83" s="35" t="inlineStr">
        <is>
          <t>음악_이미정</t>
        </is>
      </c>
      <c r="C83" s="35" t="inlineStr">
        <is>
          <t>음악</t>
        </is>
      </c>
    </row>
    <row r="84">
      <c r="B84" s="35" t="inlineStr">
        <is>
          <t>음악_정희원</t>
        </is>
      </c>
      <c r="C84" s="35" t="inlineStr">
        <is>
          <t>음악</t>
        </is>
      </c>
    </row>
    <row r="85">
      <c r="B85" s="35" t="inlineStr">
        <is>
          <t>음악_박서형</t>
        </is>
      </c>
      <c r="C85" s="35" t="inlineStr">
        <is>
          <t>음악</t>
        </is>
      </c>
    </row>
    <row r="86">
      <c r="B86" s="35" t="inlineStr">
        <is>
          <t>일본어_동소현</t>
        </is>
      </c>
      <c r="C86" s="35" t="inlineStr">
        <is>
          <t>일본어</t>
        </is>
      </c>
    </row>
    <row r="87">
      <c r="B87" s="35" t="inlineStr">
        <is>
          <t>정보컴퓨터_김웅</t>
        </is>
      </c>
      <c r="C87" s="35" t="inlineStr">
        <is>
          <t>정보컴퓨터</t>
        </is>
      </c>
    </row>
    <row r="88">
      <c r="B88" s="35" t="inlineStr">
        <is>
          <t>중국어_희소중국어팀</t>
        </is>
      </c>
      <c r="C88" s="35" t="inlineStr">
        <is>
          <t>중국어</t>
        </is>
      </c>
    </row>
    <row r="89">
      <c r="B89" s="35" t="inlineStr">
        <is>
          <t>중국어_한정은</t>
        </is>
      </c>
      <c r="C89" s="35" t="inlineStr">
        <is>
          <t>중국어</t>
        </is>
      </c>
    </row>
    <row r="90">
      <c r="B90" s="35" t="inlineStr">
        <is>
          <t>지리_한무일</t>
        </is>
      </c>
      <c r="C90" s="35" t="inlineStr">
        <is>
          <t>지리</t>
        </is>
      </c>
    </row>
    <row r="91">
      <c r="B91" s="35" t="inlineStr">
        <is>
          <t>체육_공통</t>
        </is>
      </c>
      <c r="C91" s="35" t="inlineStr">
        <is>
          <t>체육</t>
        </is>
      </c>
    </row>
    <row r="92">
      <c r="B92" s="35" t="inlineStr">
        <is>
          <t>체육_오정환</t>
        </is>
      </c>
      <c r="C92" s="35" t="inlineStr">
        <is>
          <t>체육</t>
        </is>
      </c>
    </row>
    <row r="93">
      <c r="B93" s="35" t="inlineStr">
        <is>
          <t>체육_김용호</t>
        </is>
      </c>
      <c r="C93" s="35" t="inlineStr">
        <is>
          <t>체육</t>
        </is>
      </c>
    </row>
    <row r="94">
      <c r="B94" s="35" t="inlineStr">
        <is>
          <t>체육_임서윤</t>
        </is>
      </c>
      <c r="C94" s="35" t="inlineStr">
        <is>
          <t>체육</t>
        </is>
      </c>
    </row>
    <row r="95">
      <c r="B95" s="35" t="inlineStr">
        <is>
          <t>특수_공통</t>
        </is>
      </c>
      <c r="C95" s="35" t="inlineStr">
        <is>
          <t>특수</t>
        </is>
      </c>
    </row>
    <row r="96">
      <c r="B96" s="35" t="inlineStr">
        <is>
          <t>특수_박해인</t>
        </is>
      </c>
      <c r="C96" s="35" t="inlineStr">
        <is>
          <t>특수</t>
        </is>
      </c>
    </row>
    <row r="97">
      <c r="B97" s="35" t="inlineStr">
        <is>
          <t>특수_유경아</t>
        </is>
      </c>
      <c r="C97" s="35" t="inlineStr">
        <is>
          <t>특수</t>
        </is>
      </c>
    </row>
    <row r="98">
      <c r="B98" s="35" t="inlineStr">
        <is>
          <t>특수_인아팀</t>
        </is>
      </c>
      <c r="C98" s="35" t="inlineStr">
        <is>
          <t>특수</t>
        </is>
      </c>
    </row>
    <row r="99">
      <c r="B99" s="35" t="inlineStr">
        <is>
          <t>특수_최한솔</t>
        </is>
      </c>
      <c r="C99" s="35" t="inlineStr">
        <is>
          <t>특수</t>
        </is>
      </c>
    </row>
    <row r="100">
      <c r="B100" s="35" t="inlineStr">
        <is>
          <t>특수_한경</t>
        </is>
      </c>
      <c r="C100" s="35" t="inlineStr">
        <is>
          <t>특수</t>
        </is>
      </c>
    </row>
    <row r="101">
      <c r="B101" s="35" t="inlineStr">
        <is>
          <t>특수_강한나팀</t>
        </is>
      </c>
      <c r="C101" s="35" t="inlineStr">
        <is>
          <t>특수</t>
        </is>
      </c>
    </row>
    <row r="102">
      <c r="B102" s="35" t="inlineStr">
        <is>
          <t>한국사_공통</t>
        </is>
      </c>
      <c r="C102" s="35" t="inlineStr">
        <is>
          <t>한국사</t>
        </is>
      </c>
    </row>
    <row r="103">
      <c r="B103" s="35" t="inlineStr">
        <is>
          <t>한문_원주용</t>
        </is>
      </c>
      <c r="C103" s="35" t="inlineStr">
        <is>
          <t>한문</t>
        </is>
      </c>
    </row>
    <row r="104">
      <c r="B104" s="35" t="inlineStr">
        <is>
          <t>화학_공통</t>
        </is>
      </c>
      <c r="C104" s="35" t="inlineStr">
        <is>
          <t>화학</t>
        </is>
      </c>
    </row>
    <row r="105">
      <c r="B105" s="35" t="inlineStr">
        <is>
          <t>화학_권혁</t>
        </is>
      </c>
      <c r="C105" s="35" t="inlineStr">
        <is>
          <t>화학</t>
        </is>
      </c>
    </row>
    <row r="106">
      <c r="B106" s="35" t="inlineStr">
        <is>
          <t>화학_안병천</t>
        </is>
      </c>
      <c r="C106" s="35" t="inlineStr">
        <is>
          <t>화학</t>
        </is>
      </c>
    </row>
    <row r="107">
      <c r="B107" s="35" t="inlineStr">
        <is>
          <t>00.브랜드</t>
        </is>
      </c>
      <c r="C107" s="71" t="inlineStr">
        <is>
          <t>브랜드</t>
        </is>
      </c>
    </row>
    <row r="108">
      <c r="B108" s="72" t="inlineStr">
        <is>
          <t>브랜드</t>
        </is>
      </c>
      <c r="C108" s="71" t="inlineStr">
        <is>
          <t>브랜드</t>
        </is>
      </c>
    </row>
    <row r="109">
      <c r="B109" s="35" t="inlineStr">
        <is>
          <t>경쟁사_브랜드</t>
        </is>
      </c>
      <c r="C109" s="71" t="inlineStr">
        <is>
          <t>경쟁사</t>
        </is>
      </c>
    </row>
    <row r="110">
      <c r="B110" s="72" t="inlineStr">
        <is>
          <t>교육학_김현경쟁사</t>
        </is>
      </c>
      <c r="C110" s="71" t="inlineStr">
        <is>
          <t>경쟁사</t>
        </is>
      </c>
    </row>
    <row r="111">
      <c r="B111" s="72" t="inlineStr">
        <is>
          <t>지역</t>
        </is>
      </c>
      <c r="C111" s="71" t="inlineStr">
        <is>
          <t>공통</t>
        </is>
      </c>
    </row>
    <row r="112">
      <c r="B112" s="35" t="inlineStr">
        <is>
          <t>유아_이동건경쟁사</t>
        </is>
      </c>
      <c r="C112" s="71" t="inlineStr">
        <is>
          <t>경쟁사</t>
        </is>
      </c>
    </row>
    <row r="113">
      <c r="B113" s="71" t="inlineStr">
        <is>
          <t>경쟁사_브랜드</t>
        </is>
      </c>
      <c r="C113" s="71" t="inlineStr">
        <is>
          <t>경쟁사</t>
        </is>
      </c>
    </row>
    <row r="114">
      <c r="B114" s="71" t="inlineStr">
        <is>
          <t>유아_배지윤경쟁사</t>
        </is>
      </c>
      <c r="C114" s="71" t="inlineStr">
        <is>
          <t>경쟁사</t>
        </is>
      </c>
    </row>
    <row r="115">
      <c r="B115" s="35" t="inlineStr">
        <is>
          <t>전체 웹사이트</t>
        </is>
      </c>
      <c r="C115" s="71" t="inlineStr">
        <is>
          <t>DSA</t>
        </is>
      </c>
    </row>
    <row r="116">
      <c r="B116" s="35" t="inlineStr">
        <is>
          <t>영양_영양사</t>
        </is>
      </c>
      <c r="C116" s="71" t="inlineStr">
        <is>
          <t>영양</t>
        </is>
      </c>
    </row>
    <row r="117">
      <c r="B117" s="35" t="inlineStr">
        <is>
          <t>교육학_고세훈</t>
        </is>
      </c>
      <c r="C117" s="71" t="inlineStr">
        <is>
          <t>교육학</t>
        </is>
      </c>
    </row>
    <row r="118">
      <c r="B118" s="35" t="inlineStr">
        <is>
          <t>상담심리_공통</t>
        </is>
      </c>
      <c r="C118" s="71" t="inlineStr">
        <is>
          <t>상담심리</t>
        </is>
      </c>
    </row>
    <row r="119">
      <c r="B119" s="35" t="inlineStr">
        <is>
          <t>상담심리_장세연</t>
        </is>
      </c>
      <c r="C119" s="71" t="inlineStr">
        <is>
          <t>상담심리</t>
        </is>
      </c>
    </row>
    <row r="120">
      <c r="B120" s="35" t="inlineStr">
        <is>
          <t>한능검</t>
        </is>
      </c>
      <c r="C120" s="71" t="inlineStr">
        <is>
          <t>한능검</t>
        </is>
      </c>
    </row>
    <row r="121">
      <c r="B121" s="35" t="inlineStr">
        <is>
          <t>공통_시즌</t>
        </is>
      </c>
      <c r="C121" s="71" t="inlineStr">
        <is>
          <t>공통</t>
        </is>
      </c>
    </row>
    <row r="122">
      <c r="B122" s="35" t="inlineStr">
        <is>
          <t>공통_일반</t>
        </is>
      </c>
      <c r="C122" s="71" t="inlineStr">
        <is>
          <t>공통</t>
        </is>
      </c>
    </row>
    <row r="123">
      <c r="B123" s="35" t="inlineStr">
        <is>
          <t>공통_중고등</t>
        </is>
      </c>
      <c r="C123" s="71" t="inlineStr">
        <is>
          <t>공통</t>
        </is>
      </c>
    </row>
    <row r="124">
      <c r="B124" s="35" t="inlineStr">
        <is>
          <t>공통_지역</t>
        </is>
      </c>
      <c r="C124" s="71" t="inlineStr">
        <is>
          <t>공통</t>
        </is>
      </c>
    </row>
    <row r="125">
      <c r="B125" s="26" t="inlineStr">
        <is>
          <t>영어_류지원</t>
        </is>
      </c>
      <c r="C125" s="71" t="inlineStr">
        <is>
          <t>영어</t>
        </is>
      </c>
    </row>
    <row r="126">
      <c r="B126" s="26" t="inlineStr">
        <is>
          <t>음악_서정팀</t>
        </is>
      </c>
      <c r="C126" s="71" t="inlineStr">
        <is>
          <t>음악</t>
        </is>
      </c>
    </row>
    <row r="127">
      <c r="B127" s="26" t="inlineStr">
        <is>
          <t>도덕_공통</t>
        </is>
      </c>
      <c r="C127" s="71" t="inlineStr">
        <is>
          <t>도덕</t>
        </is>
      </c>
    </row>
    <row r="128">
      <c r="B128" s="26" t="inlineStr">
        <is>
          <t>상담_공통</t>
        </is>
      </c>
      <c r="C128" s="71" t="inlineStr">
        <is>
          <t>상담</t>
        </is>
      </c>
    </row>
    <row r="129">
      <c r="B129" s="26" t="inlineStr">
        <is>
          <t>생물_공통</t>
        </is>
      </c>
      <c r="C129" s="71" t="inlineStr">
        <is>
          <t>생물</t>
        </is>
      </c>
    </row>
    <row r="130">
      <c r="B130" s="26" t="inlineStr">
        <is>
          <t>영양_공통</t>
        </is>
      </c>
      <c r="C130" s="71" t="inlineStr">
        <is>
          <t>영양</t>
        </is>
      </c>
    </row>
    <row r="131">
      <c r="B131" s="26" t="inlineStr">
        <is>
          <t>유아_양재웅</t>
        </is>
      </c>
      <c r="C131" s="71" t="inlineStr">
        <is>
          <t>유아</t>
        </is>
      </c>
    </row>
    <row r="132">
      <c r="B132" s="26" t="inlineStr">
        <is>
          <t>일본어_공통</t>
        </is>
      </c>
      <c r="C132" s="71" t="inlineStr">
        <is>
          <t>일본어</t>
        </is>
      </c>
    </row>
    <row r="133">
      <c r="B133" s="26" t="inlineStr">
        <is>
          <t>한문_공통</t>
        </is>
      </c>
      <c r="C133" s="71" t="inlineStr">
        <is>
          <t>한문</t>
        </is>
      </c>
    </row>
    <row r="134">
      <c r="B134" s="26" t="inlineStr">
        <is>
          <t>가정_공통</t>
        </is>
      </c>
      <c r="C134" s="71" t="inlineStr">
        <is>
          <t>가정</t>
        </is>
      </c>
    </row>
    <row r="135">
      <c r="B135" s="26" t="inlineStr">
        <is>
          <t>중국어_공통</t>
        </is>
      </c>
      <c r="C135" s="71" t="inlineStr">
        <is>
          <t>중국어</t>
        </is>
      </c>
    </row>
    <row r="136">
      <c r="B136" s="26" t="inlineStr">
        <is>
          <t>영어_차미아</t>
        </is>
      </c>
      <c r="C136" s="71" t="inlineStr">
        <is>
          <t>영어</t>
        </is>
      </c>
    </row>
    <row r="137">
      <c r="B137" s="26" t="inlineStr">
        <is>
          <t>면접_공통</t>
        </is>
      </c>
      <c r="C137" s="71" t="inlineStr">
        <is>
          <t>면접</t>
        </is>
      </c>
    </row>
    <row r="138">
      <c r="B138" s="26" t="inlineStr">
        <is>
          <t>지리_공통</t>
        </is>
      </c>
      <c r="C138" s="71" t="inlineStr">
        <is>
          <t>지리</t>
        </is>
      </c>
    </row>
    <row r="139">
      <c r="B139" s="26" t="inlineStr">
        <is>
          <t>미용_공통</t>
        </is>
      </c>
      <c r="C139" s="71" t="inlineStr">
        <is>
          <t>미용</t>
        </is>
      </c>
    </row>
    <row r="140">
      <c r="B140" s="26" t="inlineStr">
        <is>
          <t>국어_윤황팀</t>
        </is>
      </c>
      <c r="C140" s="71" t="inlineStr">
        <is>
          <t>국어</t>
        </is>
      </c>
    </row>
    <row r="141">
      <c r="B141" s="26" t="inlineStr">
        <is>
          <t>국어_윤희재</t>
        </is>
      </c>
      <c r="C141" s="71" t="inlineStr">
        <is>
          <t>국어</t>
        </is>
      </c>
    </row>
    <row r="142">
      <c r="B142" s="26" t="inlineStr">
        <is>
          <t>국어_황건우</t>
        </is>
      </c>
      <c r="C142" s="71" t="inlineStr">
        <is>
          <t>국어</t>
        </is>
      </c>
    </row>
    <row r="143">
      <c r="B143" s="27" t="inlineStr">
        <is>
          <t>지구과학_공통</t>
        </is>
      </c>
      <c r="C143" s="71" t="inlineStr">
        <is>
          <t>지구과학</t>
        </is>
      </c>
    </row>
    <row r="144">
      <c r="B144" s="26" t="inlineStr">
        <is>
          <t>지구과학_정재준</t>
        </is>
      </c>
      <c r="C144" s="71" t="inlineStr">
        <is>
          <t>지구과학</t>
        </is>
      </c>
    </row>
    <row r="145">
      <c r="B145" s="26" t="inlineStr">
        <is>
          <t>교육학_변민재</t>
        </is>
      </c>
      <c r="C145" s="71" t="inlineStr">
        <is>
          <t>교육학</t>
        </is>
      </c>
    </row>
    <row r="146">
      <c r="B146" s="26" t="inlineStr">
        <is>
          <t>미술_남정덕</t>
        </is>
      </c>
      <c r="C146" s="71" t="inlineStr">
        <is>
          <t>미술</t>
        </is>
      </c>
    </row>
    <row r="147">
      <c r="B147" s="35" t="inlineStr">
        <is>
          <t>브랜드_2</t>
        </is>
      </c>
      <c r="C147" s="71" t="inlineStr">
        <is>
          <t>브랜드</t>
        </is>
      </c>
    </row>
    <row r="148">
      <c r="B148" s="35" t="inlineStr">
        <is>
          <t>스포츠지도사_공통</t>
        </is>
      </c>
      <c r="C148" s="71" t="inlineStr">
        <is>
          <t>스포츠지도사</t>
        </is>
      </c>
    </row>
    <row r="149">
      <c r="B149" s="71" t="inlineStr">
        <is>
          <t>음악교육대학원_공통</t>
        </is>
      </c>
      <c r="C149" s="71" t="inlineStr">
        <is>
          <t>음악교대원</t>
        </is>
      </c>
    </row>
    <row r="150">
      <c r="B150" s="35" t="inlineStr">
        <is>
          <t>미술교육대학원_공통</t>
        </is>
      </c>
      <c r="C150" s="71" t="inlineStr">
        <is>
          <t>미술교대원</t>
        </is>
      </c>
    </row>
    <row r="151">
      <c r="B151" s="35" t="inlineStr">
        <is>
          <t>초등_김희진</t>
        </is>
      </c>
      <c r="C151" s="71" t="inlineStr">
        <is>
          <t>초등</t>
        </is>
      </c>
    </row>
    <row r="152">
      <c r="B152" s="26" t="inlineStr">
        <is>
          <t>물리_강대원</t>
        </is>
      </c>
      <c r="C152" s="71" t="inlineStr">
        <is>
          <t>물리</t>
        </is>
      </c>
    </row>
    <row r="153">
      <c r="B153" s="26" t="inlineStr">
        <is>
          <t>기술_공통</t>
        </is>
      </c>
      <c r="C153" s="71" t="inlineStr">
        <is>
          <t>기술</t>
        </is>
      </c>
    </row>
    <row r="154">
      <c r="B154" s="26" t="inlineStr">
        <is>
          <t>상업_공통</t>
        </is>
      </c>
      <c r="C154" s="71" t="inlineStr">
        <is>
          <t>상업</t>
        </is>
      </c>
    </row>
    <row r="155">
      <c r="B155" s="26" t="inlineStr">
        <is>
          <t>수학_이지윤</t>
        </is>
      </c>
      <c r="C155" s="71" t="inlineStr">
        <is>
          <t>수학</t>
        </is>
      </c>
    </row>
    <row r="156">
      <c r="B156" s="26" t="inlineStr">
        <is>
          <t>영양_영양플러스팀</t>
        </is>
      </c>
      <c r="C156" s="71" t="inlineStr">
        <is>
          <t>영양</t>
        </is>
      </c>
    </row>
    <row r="157">
      <c r="B157" s="26" t="inlineStr">
        <is>
          <t>영어_허은성</t>
        </is>
      </c>
      <c r="C157" s="71" t="inlineStr">
        <is>
          <t>영어</t>
        </is>
      </c>
    </row>
    <row r="158">
      <c r="B158" s="26" t="inlineStr">
        <is>
          <t>기술_길찬식</t>
        </is>
      </c>
      <c r="C158" s="71" t="inlineStr">
        <is>
          <t>기술</t>
        </is>
      </c>
    </row>
    <row r="159">
      <c r="B159" s="26" t="inlineStr">
        <is>
          <t>화학_엄정인</t>
        </is>
      </c>
      <c r="C159" s="71" t="inlineStr">
        <is>
          <t>화학</t>
        </is>
      </c>
    </row>
    <row r="160">
      <c r="B160" s="26" t="inlineStr">
        <is>
          <t>상업_유경옥</t>
        </is>
      </c>
      <c r="C160" s="71" t="inlineStr">
        <is>
          <t>상업</t>
        </is>
      </c>
    </row>
    <row r="161">
      <c r="B161" s="26" t="inlineStr">
        <is>
          <t>메인</t>
        </is>
      </c>
      <c r="C161" s="26" t="inlineStr">
        <is>
          <t>메인</t>
        </is>
      </c>
    </row>
    <row r="162">
      <c r="B162" s="26" t="inlineStr">
        <is>
          <t>서브_전형</t>
        </is>
      </c>
      <c r="C162" s="26" t="inlineStr">
        <is>
          <t>서브_전형</t>
        </is>
      </c>
    </row>
    <row r="163">
      <c r="B163" s="26" t="inlineStr">
        <is>
          <t>서브_핵심</t>
        </is>
      </c>
      <c r="C163" s="26" t="inlineStr">
        <is>
          <t>서브_핵심</t>
        </is>
      </c>
    </row>
    <row r="164">
      <c r="B164" s="26" t="inlineStr">
        <is>
          <t>브랜드</t>
        </is>
      </c>
      <c r="C164" s="26" t="inlineStr">
        <is>
          <t>브랜드</t>
        </is>
      </c>
    </row>
    <row r="165">
      <c r="B165" s="26" t="inlineStr">
        <is>
          <t>면접_조아라</t>
        </is>
      </c>
      <c r="C165" s="71" t="inlineStr">
        <is>
          <t>면접</t>
        </is>
      </c>
    </row>
    <row r="166">
      <c r="B166" s="26" t="inlineStr">
        <is>
          <t>특수_김선미</t>
        </is>
      </c>
      <c r="C166" s="35" t="inlineStr">
        <is>
          <t>특수</t>
        </is>
      </c>
    </row>
    <row r="167">
      <c r="B167" s="26" t="inlineStr">
        <is>
          <t>화학_윤관식</t>
        </is>
      </c>
      <c r="C167" s="71" t="inlineStr">
        <is>
          <t>화학</t>
        </is>
      </c>
    </row>
    <row r="168">
      <c r="B168" s="35" t="inlineStr">
        <is>
          <t>국어_김준팀</t>
        </is>
      </c>
      <c r="C168" s="71" t="inlineStr">
        <is>
          <t>국어</t>
        </is>
      </c>
    </row>
    <row r="169">
      <c r="B169" s="26" t="inlineStr">
        <is>
          <t>음악교육교대원_공통</t>
        </is>
      </c>
      <c r="C169" s="71" t="inlineStr">
        <is>
          <t>음악교대원</t>
        </is>
      </c>
    </row>
    <row r="170">
      <c r="B170" s="26" t="inlineStr">
        <is>
          <t>미술교육교대원_공통</t>
        </is>
      </c>
      <c r="C170" s="71" t="inlineStr">
        <is>
          <t>미술교대원</t>
        </is>
      </c>
    </row>
    <row r="171">
      <c r="B171" s="26" t="inlineStr">
        <is>
          <t>준학예사_공통</t>
        </is>
      </c>
      <c r="C171" s="77" t="inlineStr">
        <is>
          <t>준학예사</t>
        </is>
      </c>
    </row>
    <row r="172">
      <c r="B172" s="26" t="inlineStr">
        <is>
          <t>역사_김구</t>
        </is>
      </c>
      <c r="C172" s="35" t="inlineStr">
        <is>
          <t>역사</t>
        </is>
      </c>
    </row>
    <row r="173">
      <c r="B173" s="26" t="inlineStr">
        <is>
          <t>역사_김구2</t>
        </is>
      </c>
      <c r="C173" s="35" t="inlineStr">
        <is>
          <t>역사</t>
        </is>
      </c>
    </row>
    <row r="174">
      <c r="B174" s="26" t="inlineStr">
        <is>
          <t>교육학_전태련</t>
        </is>
      </c>
      <c r="C174" s="35" t="inlineStr">
        <is>
          <t>교육학</t>
        </is>
      </c>
    </row>
    <row r="175">
      <c r="B175" s="26" t="inlineStr">
        <is>
          <t>물리_오을식</t>
        </is>
      </c>
      <c r="C175" s="35" t="inlineStr">
        <is>
          <t>물리</t>
        </is>
      </c>
    </row>
    <row r="176">
      <c r="B176" s="26" t="inlineStr">
        <is>
          <t>수학_김현웅</t>
        </is>
      </c>
      <c r="C176" s="35" t="inlineStr">
        <is>
          <t>수학</t>
        </is>
      </c>
    </row>
    <row r="177">
      <c r="B177" s="26" t="inlineStr">
        <is>
          <t>유아_공통_2</t>
        </is>
      </c>
      <c r="C177" s="35" t="inlineStr">
        <is>
          <t>유아</t>
        </is>
      </c>
    </row>
    <row r="178">
      <c r="B178" s="26" t="inlineStr">
        <is>
          <t>수학_김현웅/이지윤팀</t>
        </is>
      </c>
      <c r="C178" s="35" t="inlineStr">
        <is>
          <t>수학</t>
        </is>
      </c>
    </row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</sheetData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13">
    <tabColor rgb="FF7030A0"/>
    <outlinePr summaryBelow="1" summaryRight="1"/>
    <pageSetUpPr/>
  </sheetPr>
  <dimension ref="B1:L913"/>
  <sheetViews>
    <sheetView showGridLines="0" workbookViewId="0">
      <selection activeCell="G27" sqref="G27"/>
    </sheetView>
  </sheetViews>
  <sheetFormatPr baseColWidth="8" defaultColWidth="9" defaultRowHeight="16.5"/>
  <cols>
    <col width="9" customWidth="1" style="69" min="1" max="1"/>
    <col width="42.25" bestFit="1" customWidth="1" style="69" min="2" max="2"/>
    <col width="15.875" customWidth="1" style="69" min="3" max="3"/>
    <col width="14.625" customWidth="1" style="69" min="4" max="4"/>
    <col width="13.25" customWidth="1" style="69" min="5" max="5"/>
    <col width="14.5" customWidth="1" style="69" min="6" max="6"/>
    <col width="14.625" customWidth="1" style="69" min="7" max="7"/>
    <col width="9" customWidth="1" style="69" min="8" max="10"/>
    <col width="37.375" customWidth="1" style="69" min="11" max="11"/>
    <col width="17.25" customWidth="1" style="69" min="12" max="12"/>
    <col width="9" customWidth="1" style="69" min="13" max="16384"/>
  </cols>
  <sheetData>
    <row r="1" ht="15.75" customHeight="1">
      <c r="B1" s="68" t="inlineStr">
        <is>
          <t>DA 그룹 기준</t>
        </is>
      </c>
      <c r="K1" s="68" t="inlineStr">
        <is>
          <t>JSON 수정 기준</t>
        </is>
      </c>
    </row>
    <row r="2">
      <c r="B2" s="70" t="inlineStr">
        <is>
          <t>그룹</t>
        </is>
      </c>
      <c r="C2" s="70" t="inlineStr">
        <is>
          <t>DA_캠페인유형</t>
        </is>
      </c>
      <c r="D2" s="70" t="inlineStr">
        <is>
          <t>DA_타게팅 유형</t>
        </is>
      </c>
      <c r="E2" s="70" t="inlineStr">
        <is>
          <t>DA_타게팅</t>
        </is>
      </c>
      <c r="F2" s="70" t="inlineStr">
        <is>
          <t>소재명</t>
        </is>
      </c>
      <c r="G2" s="70" t="inlineStr">
        <is>
          <t>DA 카테고리</t>
        </is>
      </c>
      <c r="K2" s="70" t="inlineStr">
        <is>
          <t>원본 값</t>
        </is>
      </c>
      <c r="L2" s="70" t="inlineStr">
        <is>
          <t>수정 값</t>
        </is>
      </c>
    </row>
    <row r="3">
      <c r="B3" s="71" t="inlineStr">
        <is>
          <t>TH_설명회_PMAX_2025</t>
        </is>
      </c>
      <c r="C3" s="77" t="inlineStr">
        <is>
          <t>GDN</t>
        </is>
      </c>
      <c r="D3" s="77" t="inlineStr">
        <is>
          <t>일반타게팅</t>
        </is>
      </c>
      <c r="E3" s="77" t="inlineStr">
        <is>
          <t>관심사</t>
        </is>
      </c>
      <c r="F3" s="77" t="inlineStr">
        <is>
          <t>설명회</t>
        </is>
      </c>
      <c r="G3" s="77" t="inlineStr">
        <is>
          <t>역사</t>
        </is>
      </c>
      <c r="K3" s="71" t="inlineStr">
        <is>
          <t>구매</t>
        </is>
      </c>
      <c r="L3" s="71" t="inlineStr">
        <is>
          <t>구매</t>
        </is>
      </c>
    </row>
    <row r="4">
      <c r="B4" s="71" t="inlineStr">
        <is>
          <t>TH_PMAX_역사_김구팀</t>
        </is>
      </c>
      <c r="C4" s="77" t="inlineStr">
        <is>
          <t>GDN</t>
        </is>
      </c>
      <c r="D4" s="77" t="inlineStr">
        <is>
          <t>일반타게팅</t>
        </is>
      </c>
      <c r="E4" s="77" t="inlineStr">
        <is>
          <t>관심사</t>
        </is>
      </c>
      <c r="F4" s="77" t="inlineStr">
        <is>
          <t>김구팀</t>
        </is>
      </c>
      <c r="G4" s="77" t="inlineStr">
        <is>
          <t>설명회</t>
        </is>
      </c>
      <c r="K4" s="71" t="inlineStr">
        <is>
          <t>PC_GA4(New) (web) purchase</t>
        </is>
      </c>
      <c r="L4" s="71" t="inlineStr">
        <is>
          <t>구매</t>
        </is>
      </c>
    </row>
    <row r="5">
      <c r="K5" s="71" t="inlineStr">
        <is>
          <t>상담문의완료</t>
        </is>
      </c>
      <c r="L5" s="71" t="inlineStr">
        <is>
          <t>상담문의완료</t>
        </is>
      </c>
    </row>
    <row r="6">
      <c r="K6" s="71" t="inlineStr">
        <is>
          <t>PC_GA4(New) (web) 카톡문의클릭</t>
        </is>
      </c>
      <c r="L6" s="71" t="inlineStr">
        <is>
          <t>상담문의완료</t>
        </is>
      </c>
    </row>
    <row r="7">
      <c r="K7" s="71" t="inlineStr">
        <is>
          <t>PC_GA4(New) (web) 회원가입완료</t>
        </is>
      </c>
      <c r="L7" s="71" t="inlineStr">
        <is>
          <t>회원가입</t>
        </is>
      </c>
    </row>
    <row r="8">
      <c r="K8" s="71" t="inlineStr">
        <is>
          <t>MO_GA4(New) (web) purchase</t>
        </is>
      </c>
      <c r="L8" s="71" t="inlineStr">
        <is>
          <t>구매</t>
        </is>
      </c>
    </row>
    <row r="9">
      <c r="K9" s="71" t="inlineStr">
        <is>
          <t>MO_GA4(New) (web) 카톡문의클릭</t>
        </is>
      </c>
      <c r="L9" s="71" t="inlineStr">
        <is>
          <t>상담문의완료</t>
        </is>
      </c>
    </row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</sheetData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14">
    <tabColor rgb="FFFF0000"/>
    <outlinePr summaryBelow="1" summaryRight="1"/>
    <pageSetUpPr/>
  </sheetPr>
  <dimension ref="A1:Y6"/>
  <sheetViews>
    <sheetView showGridLines="0" tabSelected="1" topLeftCell="A5" zoomScaleNormal="100" workbookViewId="0">
      <selection activeCell="A5" sqref="A5"/>
    </sheetView>
  </sheetViews>
  <sheetFormatPr baseColWidth="8" defaultRowHeight="16.5"/>
  <cols>
    <col width="13.875" customWidth="1" min="4" max="4"/>
    <col width="7.125" bestFit="1" customWidth="1" min="5" max="5"/>
    <col width="11.125" bestFit="1" customWidth="1" min="6" max="6"/>
    <col width="7.5" bestFit="1" customWidth="1" min="7" max="7"/>
    <col width="22" bestFit="1" customWidth="1" min="8" max="8"/>
    <col width="28.25" customWidth="1" min="9" max="9"/>
    <col width="28.75" bestFit="1" customWidth="1" min="10" max="10"/>
    <col width="7.25" bestFit="1" customWidth="1" min="11" max="13"/>
    <col width="8.75" bestFit="1" customWidth="1" min="14" max="14"/>
    <col width="9.375" bestFit="1" customWidth="1" min="15" max="15"/>
    <col width="8.75" bestFit="1" customWidth="1" min="16" max="16"/>
    <col width="11.625" bestFit="1" customWidth="1" min="17" max="17"/>
    <col width="8.25" bestFit="1" customWidth="1" min="18" max="18"/>
    <col width="13" bestFit="1" customWidth="1" min="19" max="19"/>
    <col width="13.375" bestFit="1" customWidth="1" min="20" max="20"/>
    <col width="13.875" bestFit="1" customWidth="1" min="21" max="21"/>
    <col width="10" bestFit="1" customWidth="1" min="22" max="22"/>
    <col width="7.25" bestFit="1" customWidth="1" min="23" max="23"/>
    <col width="11.625" bestFit="1" customWidth="1" min="24" max="24"/>
    <col width="15.625" bestFit="1" customWidth="1" min="25" max="25"/>
  </cols>
  <sheetData>
    <row r="1">
      <c r="F1" s="107" t="n"/>
    </row>
    <row r="2">
      <c r="F2" s="107" t="n"/>
    </row>
    <row r="3">
      <c r="A3" s="18" t="inlineStr">
        <is>
          <t>수식보관함</t>
        </is>
      </c>
      <c r="B3" s="100" t="n"/>
      <c r="F3" s="107" t="n"/>
      <c r="H3" s="42" t="inlineStr">
        <is>
          <t>네이버 참 4개</t>
        </is>
      </c>
      <c r="I3" s="43">
        <f>COUNTIF(네이버RAW!J:M, TRUE)</f>
        <v/>
      </c>
      <c r="J3" s="42" t="inlineStr">
        <is>
          <t>네이버 SA 카테고리 미분류 1개</t>
        </is>
      </c>
      <c r="K3" s="43">
        <f t="array" ref="K3">SUMPRODUCT(--ISNA(네이버RAW!$P:$P))</f>
        <v/>
      </c>
    </row>
    <row r="4">
      <c r="A4" s="37">
        <f>IF(OR(E4="카카오",E4="네이버",E4="구글"),"SA",IF(OR(E4="PMAX",E4="GFA"),"DA","입력필요"))</f>
        <v/>
      </c>
      <c r="B4" s="37">
        <f>A4</f>
        <v/>
      </c>
      <c r="C4" s="37">
        <f>IF(AND(YEAR(F4)=YEAR(TODAY()), MONTH(F4)=MONTH(TODAY())),
    "당월",
    IF(AND(YEAR(F4)=YEAR(EDATE(TODAY(),-1)), MONTH(F4)=MONTH(EDATE(TODAY(),-1))),
        "전월",
        ""
    )
)</f>
        <v/>
      </c>
      <c r="D4" s="37">
        <f>TEXT(F4,"m""월 """) &amp;
(WEEKNUM(F4,11) - WEEKNUM(DATE(YEAR(F4),MONTH(F4),1),11) + 1) &amp;
"주차"</f>
        <v/>
      </c>
      <c r="E4" s="3" t="n"/>
      <c r="F4" s="107" t="n"/>
      <c r="H4" s="73" t="inlineStr">
        <is>
          <t>구글 참 4개</t>
        </is>
      </c>
      <c r="I4" s="74">
        <f>COUNTIF(구글RAW!J:M, TRUE)</f>
        <v/>
      </c>
      <c r="J4" s="73" t="inlineStr">
        <is>
          <t>구글 SA 카테고리 미분류 1개</t>
        </is>
      </c>
      <c r="K4" s="74">
        <f t="array" ref="K4">SUMPRODUCT(--ISNA(구글RAW!$P:$P))</f>
        <v/>
      </c>
    </row>
    <row r="5">
      <c r="A5" s="39" t="inlineStr">
        <is>
          <t>구분(필터용)</t>
        </is>
      </c>
      <c r="B5" s="39" t="inlineStr">
        <is>
          <t>구분</t>
        </is>
      </c>
      <c r="C5" s="39" t="inlineStr">
        <is>
          <t>기간구분</t>
        </is>
      </c>
      <c r="D5" s="39" t="inlineStr">
        <is>
          <t>주차</t>
        </is>
      </c>
      <c r="E5" s="39" t="inlineStr">
        <is>
          <t>매체</t>
        </is>
      </c>
      <c r="F5" s="108" t="inlineStr">
        <is>
          <t>날짜</t>
        </is>
      </c>
      <c r="G5" s="39" t="inlineStr">
        <is>
          <t>디바이스</t>
        </is>
      </c>
      <c r="H5" s="39" t="inlineStr">
        <is>
          <t>캠페인</t>
        </is>
      </c>
      <c r="I5" s="39" t="inlineStr">
        <is>
          <t>광고그룹</t>
        </is>
      </c>
      <c r="J5" s="39" t="inlineStr">
        <is>
          <t>키워드</t>
        </is>
      </c>
      <c r="K5" s="101" t="inlineStr">
        <is>
          <t>노출수</t>
        </is>
      </c>
      <c r="L5" s="101" t="inlineStr">
        <is>
          <t>클릭수</t>
        </is>
      </c>
      <c r="M5" s="101" t="inlineStr">
        <is>
          <t>광고비</t>
        </is>
      </c>
      <c r="N5" s="101" t="inlineStr">
        <is>
          <t>구매완료</t>
        </is>
      </c>
      <c r="O5" s="101" t="inlineStr">
        <is>
          <t>신청/문의</t>
        </is>
      </c>
      <c r="P5" s="101" t="inlineStr">
        <is>
          <t>회원가입</t>
        </is>
      </c>
      <c r="Q5" s="101" t="inlineStr">
        <is>
          <t>전환매출액</t>
        </is>
      </c>
      <c r="R5" s="103" t="inlineStr">
        <is>
          <t>SA_유형</t>
        </is>
      </c>
      <c r="S5" s="103" t="inlineStr">
        <is>
          <t>SA_카테고리</t>
        </is>
      </c>
      <c r="T5" s="103" t="inlineStr">
        <is>
          <t>DA_캠페인유형</t>
        </is>
      </c>
      <c r="U5" s="103" t="inlineStr">
        <is>
          <t>DA_타게팅 유형</t>
        </is>
      </c>
      <c r="V5" s="103" t="inlineStr">
        <is>
          <t>DA_타게팅</t>
        </is>
      </c>
      <c r="W5" s="103" t="inlineStr">
        <is>
          <t>소재명</t>
        </is>
      </c>
      <c r="X5" s="103" t="inlineStr">
        <is>
          <t>DA_카테고리</t>
        </is>
      </c>
      <c r="Y5" s="103" t="inlineStr">
        <is>
          <t>DA_카테고리_상세</t>
        </is>
      </c>
    </row>
    <row r="6">
      <c r="A6" s="35">
        <f>IF(OR(E6="카카오",E6="네이버",E6="구글"),"SA",IF(OR(E6="PMAX",E6="GFA"),"DA","입력필요"))</f>
        <v/>
      </c>
      <c r="B6" s="35">
        <f>A6</f>
        <v/>
      </c>
      <c r="C6" s="35">
        <f>IF(AND(YEAR(F6)=YEAR(TODAY()), MONTH(F6)=MONTH(TODAY())),
    "당월",
    IF(AND(YEAR(F6)=YEAR(EDATE(TODAY(),-1)), MONTH(F6)=MONTH(EDATE(TODAY(),-1))),
        "전월",
        ""
    )
)</f>
        <v/>
      </c>
      <c r="D6" s="35">
        <f>TEXT(F6,"m""월 """) &amp;
(WEEKNUM(F6,11) - WEEKNUM(DATE(YEAR(F6),MONTH(F6),1),11) + 1) &amp;
"주차"</f>
        <v/>
      </c>
      <c r="E6" s="35" t="inlineStr">
        <is>
          <t>네이버</t>
        </is>
      </c>
      <c r="F6" s="109" t="n">
        <v>46203</v>
      </c>
      <c r="G6" s="35" t="inlineStr">
        <is>
          <t>MO</t>
        </is>
      </c>
      <c r="H6" s="35" t="inlineStr">
        <is>
          <t>01_파워링크mo</t>
        </is>
      </c>
      <c r="I6" s="35" t="inlineStr">
        <is>
          <t>가정_문영은</t>
        </is>
      </c>
      <c r="J6" s="35" t="inlineStr">
        <is>
          <t>문영은</t>
        </is>
      </c>
      <c r="K6" s="35" t="n">
        <v>2</v>
      </c>
      <c r="L6" s="35" t="n">
        <v>0</v>
      </c>
      <c r="M6" s="35" t="n">
        <v>0</v>
      </c>
      <c r="N6" s="35" t="n">
        <v>0</v>
      </c>
      <c r="O6" s="35" t="n">
        <v>0</v>
      </c>
      <c r="P6" s="35" t="n">
        <v>0</v>
      </c>
      <c r="Q6" s="35" t="n">
        <v>0</v>
      </c>
      <c r="R6" s="35" t="inlineStr">
        <is>
          <t>검색</t>
        </is>
      </c>
      <c r="S6" s="35" t="inlineStr">
        <is>
          <t>가정</t>
        </is>
      </c>
      <c r="T6" s="35" t="n"/>
      <c r="U6" s="35" t="n"/>
      <c r="V6" s="35" t="n"/>
      <c r="W6" s="35" t="n"/>
      <c r="X6" s="35" t="n"/>
      <c r="Y6" s="35" t="n"/>
    </row>
  </sheetData>
  <mergeCells count="1">
    <mergeCell ref="A3:B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C2:X960"/>
  <sheetViews>
    <sheetView zoomScale="70" zoomScaleNormal="70" workbookViewId="0">
      <selection activeCell="A3" sqref="A3"/>
    </sheetView>
  </sheetViews>
  <sheetFormatPr baseColWidth="8" defaultRowHeight="16.5"/>
  <cols>
    <col width="10.875" bestFit="1" customWidth="1" min="6" max="6"/>
    <col width="9.75" bestFit="1" customWidth="1" min="7" max="7"/>
    <col width="13.25" bestFit="1" customWidth="1" min="8" max="8"/>
    <col width="19.125" customWidth="1" min="9" max="9"/>
    <col width="18.75" customWidth="1" min="10" max="10"/>
    <col width="29.25" customWidth="1" min="11" max="11"/>
    <col width="9.25" bestFit="1" customWidth="1" min="14" max="14"/>
    <col width="12.125" bestFit="1" customWidth="1" min="15" max="15"/>
    <col width="12.125" bestFit="1" customWidth="1" min="17" max="17"/>
    <col width="15.375" customWidth="1" min="24" max="24"/>
  </cols>
  <sheetData>
    <row r="2">
      <c r="N2" s="9" t="n">
        <v>1540000</v>
      </c>
      <c r="O2" s="110">
        <f>N2/30</f>
        <v/>
      </c>
      <c r="P2">
        <f>N2/1.1</f>
        <v/>
      </c>
      <c r="Q2" s="110">
        <f>P2/30</f>
        <v/>
      </c>
    </row>
    <row r="3">
      <c r="N3" s="11" t="n">
        <v>1100000</v>
      </c>
      <c r="O3" s="110">
        <f>N3/30</f>
        <v/>
      </c>
      <c r="P3">
        <f>N3/1.1</f>
        <v/>
      </c>
      <c r="Q3" s="110">
        <f>P3/30</f>
        <v/>
      </c>
    </row>
    <row r="4">
      <c r="C4" s="12" t="inlineStr">
        <is>
          <t>BSA</t>
        </is>
      </c>
      <c r="D4" s="12" t="inlineStr">
        <is>
          <t>BSA</t>
        </is>
      </c>
      <c r="E4" s="12" t="inlineStr">
        <is>
          <t>3월 5주차</t>
        </is>
      </c>
      <c r="F4" s="12" t="inlineStr">
        <is>
          <t>네이버</t>
        </is>
      </c>
      <c r="G4" s="13" t="n">
        <v>45012</v>
      </c>
      <c r="H4" s="12" t="inlineStr">
        <is>
          <t>PC</t>
        </is>
      </c>
      <c r="I4" s="12" t="inlineStr">
        <is>
          <t>00.브랜드검색PCMO</t>
        </is>
      </c>
      <c r="J4" s="12" t="inlineStr">
        <is>
          <t>01.PC브랜드검색</t>
        </is>
      </c>
      <c r="K4" s="12" t="n"/>
      <c r="L4" s="111" t="n">
        <v>0</v>
      </c>
      <c r="M4" s="111" t="n">
        <v>0</v>
      </c>
      <c r="N4" s="111" t="n">
        <v>36666.66666666666</v>
      </c>
      <c r="O4" s="111" t="n">
        <v>0</v>
      </c>
      <c r="P4" s="111" t="n">
        <v>0</v>
      </c>
      <c r="Q4" s="111" t="n">
        <v>0</v>
      </c>
      <c r="R4" s="111" t="n">
        <v>0</v>
      </c>
      <c r="S4" s="15" t="inlineStr">
        <is>
          <t>BSA</t>
        </is>
      </c>
      <c r="T4" s="15" t="inlineStr">
        <is>
          <t>BSA</t>
        </is>
      </c>
    </row>
    <row r="5">
      <c r="C5" s="12" t="inlineStr">
        <is>
          <t>BSA</t>
        </is>
      </c>
      <c r="D5" s="12" t="inlineStr">
        <is>
          <t>BSA</t>
        </is>
      </c>
      <c r="E5" s="12" t="inlineStr">
        <is>
          <t>3월 5주차</t>
        </is>
      </c>
      <c r="F5" s="12" t="inlineStr">
        <is>
          <t>네이버</t>
        </is>
      </c>
      <c r="G5" s="13" t="n">
        <v>45012</v>
      </c>
      <c r="H5" s="12" t="inlineStr">
        <is>
          <t>MO</t>
        </is>
      </c>
      <c r="I5" s="12" t="inlineStr">
        <is>
          <t>00.브랜드검색PCMO</t>
        </is>
      </c>
      <c r="J5" s="12" t="inlineStr">
        <is>
          <t>01.MO브랜드검색</t>
        </is>
      </c>
      <c r="K5" s="12" t="n"/>
      <c r="L5" s="111" t="n">
        <v>0</v>
      </c>
      <c r="M5" s="111" t="n">
        <v>0</v>
      </c>
      <c r="N5" s="111" t="n">
        <v>51333.33333333334</v>
      </c>
      <c r="O5" s="111" t="n">
        <v>0</v>
      </c>
      <c r="P5" s="111" t="n">
        <v>0</v>
      </c>
      <c r="Q5" s="111" t="n">
        <v>0</v>
      </c>
      <c r="R5" s="111" t="n">
        <v>0</v>
      </c>
      <c r="S5" s="15" t="inlineStr">
        <is>
          <t>BSA</t>
        </is>
      </c>
      <c r="T5" s="15" t="inlineStr">
        <is>
          <t>BSA</t>
        </is>
      </c>
    </row>
    <row r="6">
      <c r="C6" s="12" t="inlineStr">
        <is>
          <t>BSA</t>
        </is>
      </c>
      <c r="D6" s="12" t="inlineStr">
        <is>
          <t>BSA</t>
        </is>
      </c>
      <c r="E6" s="12" t="inlineStr">
        <is>
          <t>3월 5주차</t>
        </is>
      </c>
      <c r="F6" s="12" t="inlineStr">
        <is>
          <t>네이버</t>
        </is>
      </c>
      <c r="G6" s="13" t="n">
        <v>45013</v>
      </c>
      <c r="H6" s="12" t="inlineStr">
        <is>
          <t>PC</t>
        </is>
      </c>
      <c r="I6" s="12" t="inlineStr">
        <is>
          <t>00.브랜드검색PCMO</t>
        </is>
      </c>
      <c r="J6" s="12" t="inlineStr">
        <is>
          <t>01.PC브랜드검색</t>
        </is>
      </c>
      <c r="K6" s="12" t="n"/>
      <c r="L6" s="111" t="n">
        <v>0</v>
      </c>
      <c r="M6" s="111" t="n">
        <v>0</v>
      </c>
      <c r="N6" s="111" t="n">
        <v>36666.66666666666</v>
      </c>
      <c r="O6" s="111" t="n">
        <v>0</v>
      </c>
      <c r="P6" s="111" t="n">
        <v>0</v>
      </c>
      <c r="Q6" s="111" t="n">
        <v>0</v>
      </c>
      <c r="R6" s="111" t="n">
        <v>0</v>
      </c>
      <c r="S6" s="15" t="inlineStr">
        <is>
          <t>BSA</t>
        </is>
      </c>
      <c r="T6" s="15" t="inlineStr">
        <is>
          <t>BSA</t>
        </is>
      </c>
    </row>
    <row r="7">
      <c r="C7" s="12" t="inlineStr">
        <is>
          <t>BSA</t>
        </is>
      </c>
      <c r="D7" s="12" t="inlineStr">
        <is>
          <t>BSA</t>
        </is>
      </c>
      <c r="E7" s="12" t="inlineStr">
        <is>
          <t>3월 5주차</t>
        </is>
      </c>
      <c r="F7" s="12" t="inlineStr">
        <is>
          <t>네이버</t>
        </is>
      </c>
      <c r="G7" s="13" t="n">
        <v>45013</v>
      </c>
      <c r="H7" s="12" t="inlineStr">
        <is>
          <t>MO</t>
        </is>
      </c>
      <c r="I7" s="12" t="inlineStr">
        <is>
          <t>00.브랜드검색PCMO</t>
        </is>
      </c>
      <c r="J7" s="12" t="inlineStr">
        <is>
          <t>01.MO브랜드검색</t>
        </is>
      </c>
      <c r="K7" s="12" t="n"/>
      <c r="L7" s="111" t="n">
        <v>0</v>
      </c>
      <c r="M7" s="111" t="n">
        <v>0</v>
      </c>
      <c r="N7" s="111" t="n">
        <v>51333.33333333334</v>
      </c>
      <c r="O7" s="111" t="n">
        <v>0</v>
      </c>
      <c r="P7" s="111" t="n">
        <v>0</v>
      </c>
      <c r="Q7" s="111" t="n">
        <v>0</v>
      </c>
      <c r="R7" s="111" t="n">
        <v>0</v>
      </c>
      <c r="S7" s="15" t="inlineStr">
        <is>
          <t>BSA</t>
        </is>
      </c>
      <c r="T7" s="15" t="inlineStr">
        <is>
          <t>BSA</t>
        </is>
      </c>
    </row>
    <row r="8">
      <c r="C8" s="12" t="inlineStr">
        <is>
          <t>BSA</t>
        </is>
      </c>
      <c r="D8" s="12" t="inlineStr">
        <is>
          <t>BSA</t>
        </is>
      </c>
      <c r="E8" s="12" t="inlineStr">
        <is>
          <t>3월 5주차</t>
        </is>
      </c>
      <c r="F8" s="12" t="inlineStr">
        <is>
          <t>네이버</t>
        </is>
      </c>
      <c r="G8" s="13" t="n">
        <v>45014</v>
      </c>
      <c r="H8" s="12" t="inlineStr">
        <is>
          <t>PC</t>
        </is>
      </c>
      <c r="I8" s="12" t="inlineStr">
        <is>
          <t>00.브랜드검색PCMO</t>
        </is>
      </c>
      <c r="J8" s="12" t="inlineStr">
        <is>
          <t>01.PC브랜드검색</t>
        </is>
      </c>
      <c r="K8" s="12" t="n"/>
      <c r="L8" s="111" t="n">
        <v>0</v>
      </c>
      <c r="M8" s="111" t="n">
        <v>0</v>
      </c>
      <c r="N8" s="111" t="n">
        <v>36666.66666666666</v>
      </c>
      <c r="O8" s="111" t="n">
        <v>0</v>
      </c>
      <c r="P8" s="111" t="n">
        <v>0</v>
      </c>
      <c r="Q8" s="111" t="n">
        <v>0</v>
      </c>
      <c r="R8" s="111" t="n">
        <v>0</v>
      </c>
      <c r="S8" s="15" t="inlineStr">
        <is>
          <t>BSA</t>
        </is>
      </c>
      <c r="T8" s="15" t="inlineStr">
        <is>
          <t>BSA</t>
        </is>
      </c>
    </row>
    <row r="9">
      <c r="C9" s="12" t="inlineStr">
        <is>
          <t>BSA</t>
        </is>
      </c>
      <c r="D9" s="12" t="inlineStr">
        <is>
          <t>BSA</t>
        </is>
      </c>
      <c r="E9" s="12" t="inlineStr">
        <is>
          <t>3월 5주차</t>
        </is>
      </c>
      <c r="F9" s="12" t="inlineStr">
        <is>
          <t>네이버</t>
        </is>
      </c>
      <c r="G9" s="13" t="n">
        <v>45014</v>
      </c>
      <c r="H9" s="12" t="inlineStr">
        <is>
          <t>MO</t>
        </is>
      </c>
      <c r="I9" s="12" t="inlineStr">
        <is>
          <t>00.브랜드검색PCMO</t>
        </is>
      </c>
      <c r="J9" s="12" t="inlineStr">
        <is>
          <t>01.MO브랜드검색</t>
        </is>
      </c>
      <c r="K9" s="12" t="n"/>
      <c r="L9" s="111" t="n">
        <v>0</v>
      </c>
      <c r="M9" s="111" t="n">
        <v>0</v>
      </c>
      <c r="N9" s="111" t="n">
        <v>51333.33333333334</v>
      </c>
      <c r="O9" s="111" t="n">
        <v>0</v>
      </c>
      <c r="P9" s="111" t="n">
        <v>0</v>
      </c>
      <c r="Q9" s="111" t="n">
        <v>0</v>
      </c>
      <c r="R9" s="111" t="n">
        <v>0</v>
      </c>
      <c r="S9" s="15" t="inlineStr">
        <is>
          <t>BSA</t>
        </is>
      </c>
      <c r="T9" s="15" t="inlineStr">
        <is>
          <t>BSA</t>
        </is>
      </c>
    </row>
    <row r="10">
      <c r="C10" s="12" t="inlineStr">
        <is>
          <t>BSA</t>
        </is>
      </c>
      <c r="D10" s="12" t="inlineStr">
        <is>
          <t>BSA</t>
        </is>
      </c>
      <c r="E10" s="12" t="inlineStr">
        <is>
          <t>3월 5주차</t>
        </is>
      </c>
      <c r="F10" s="12" t="inlineStr">
        <is>
          <t>네이버</t>
        </is>
      </c>
      <c r="G10" s="13" t="n">
        <v>45015</v>
      </c>
      <c r="H10" s="12" t="inlineStr">
        <is>
          <t>PC</t>
        </is>
      </c>
      <c r="I10" s="12" t="inlineStr">
        <is>
          <t>00.브랜드검색PCMO</t>
        </is>
      </c>
      <c r="J10" s="12" t="inlineStr">
        <is>
          <t>01.PC브랜드검색</t>
        </is>
      </c>
      <c r="K10" s="12" t="n"/>
      <c r="L10" s="111" t="n">
        <v>0</v>
      </c>
      <c r="M10" s="111" t="n">
        <v>0</v>
      </c>
      <c r="N10" s="111" t="n">
        <v>36666.66666666666</v>
      </c>
      <c r="O10" s="111" t="n">
        <v>0</v>
      </c>
      <c r="P10" s="111" t="n">
        <v>0</v>
      </c>
      <c r="Q10" s="111" t="n">
        <v>0</v>
      </c>
      <c r="R10" s="111" t="n">
        <v>0</v>
      </c>
      <c r="S10" s="15" t="inlineStr">
        <is>
          <t>BSA</t>
        </is>
      </c>
      <c r="T10" s="15" t="inlineStr">
        <is>
          <t>BSA</t>
        </is>
      </c>
    </row>
    <row r="11">
      <c r="C11" s="12" t="inlineStr">
        <is>
          <t>BSA</t>
        </is>
      </c>
      <c r="D11" s="12" t="inlineStr">
        <is>
          <t>BSA</t>
        </is>
      </c>
      <c r="E11" s="12" t="inlineStr">
        <is>
          <t>3월 5주차</t>
        </is>
      </c>
      <c r="F11" s="12" t="inlineStr">
        <is>
          <t>네이버</t>
        </is>
      </c>
      <c r="G11" s="13" t="n">
        <v>45015</v>
      </c>
      <c r="H11" s="12" t="inlineStr">
        <is>
          <t>MO</t>
        </is>
      </c>
      <c r="I11" s="12" t="inlineStr">
        <is>
          <t>00.브랜드검색PCMO</t>
        </is>
      </c>
      <c r="J11" s="12" t="inlineStr">
        <is>
          <t>01.MO브랜드검색</t>
        </is>
      </c>
      <c r="K11" s="12" t="n"/>
      <c r="L11" s="111" t="n">
        <v>0</v>
      </c>
      <c r="M11" s="111" t="n">
        <v>0</v>
      </c>
      <c r="N11" s="111" t="n">
        <v>51333.33333333334</v>
      </c>
      <c r="O11" s="111" t="n">
        <v>0</v>
      </c>
      <c r="P11" s="111" t="n">
        <v>0</v>
      </c>
      <c r="Q11" s="111" t="n">
        <v>0</v>
      </c>
      <c r="R11" s="111" t="n">
        <v>0</v>
      </c>
      <c r="S11" s="15" t="inlineStr">
        <is>
          <t>BSA</t>
        </is>
      </c>
      <c r="T11" s="15" t="inlineStr">
        <is>
          <t>BSA</t>
        </is>
      </c>
    </row>
    <row r="12">
      <c r="C12" s="12" t="inlineStr">
        <is>
          <t>BSA</t>
        </is>
      </c>
      <c r="D12" s="12" t="inlineStr">
        <is>
          <t>BSA</t>
        </is>
      </c>
      <c r="E12" s="12" t="inlineStr">
        <is>
          <t>3월 5주차</t>
        </is>
      </c>
      <c r="F12" s="12" t="inlineStr">
        <is>
          <t>네이버</t>
        </is>
      </c>
      <c r="G12" s="13" t="n">
        <v>45016</v>
      </c>
      <c r="H12" s="12" t="inlineStr">
        <is>
          <t>PC</t>
        </is>
      </c>
      <c r="I12" s="12" t="inlineStr">
        <is>
          <t>00.브랜드검색PCMO</t>
        </is>
      </c>
      <c r="J12" s="12" t="inlineStr">
        <is>
          <t>01.PC브랜드검색</t>
        </is>
      </c>
      <c r="K12" s="12" t="n"/>
      <c r="L12" s="111" t="n">
        <v>0</v>
      </c>
      <c r="M12" s="111" t="n">
        <v>0</v>
      </c>
      <c r="N12" s="111" t="n">
        <v>36666.66666666666</v>
      </c>
      <c r="O12" s="111" t="n">
        <v>0</v>
      </c>
      <c r="P12" s="111" t="n">
        <v>0</v>
      </c>
      <c r="Q12" s="111" t="n">
        <v>0</v>
      </c>
      <c r="R12" s="111" t="n">
        <v>0</v>
      </c>
      <c r="S12" s="15" t="inlineStr">
        <is>
          <t>BSA</t>
        </is>
      </c>
      <c r="T12" s="15" t="inlineStr">
        <is>
          <t>BSA</t>
        </is>
      </c>
    </row>
    <row r="13">
      <c r="C13" s="12" t="inlineStr">
        <is>
          <t>BSA</t>
        </is>
      </c>
      <c r="D13" s="12" t="inlineStr">
        <is>
          <t>BSA</t>
        </is>
      </c>
      <c r="E13" s="12" t="inlineStr">
        <is>
          <t>3월 5주차</t>
        </is>
      </c>
      <c r="F13" s="12" t="inlineStr">
        <is>
          <t>네이버</t>
        </is>
      </c>
      <c r="G13" s="13" t="n">
        <v>45016</v>
      </c>
      <c r="H13" s="12" t="inlineStr">
        <is>
          <t>MO</t>
        </is>
      </c>
      <c r="I13" s="12" t="inlineStr">
        <is>
          <t>00.브랜드검색PCMO</t>
        </is>
      </c>
      <c r="J13" s="12" t="inlineStr">
        <is>
          <t>01.MO브랜드검색</t>
        </is>
      </c>
      <c r="K13" s="12" t="n"/>
      <c r="L13" s="111" t="n">
        <v>0</v>
      </c>
      <c r="M13" s="111" t="n">
        <v>0</v>
      </c>
      <c r="N13" s="111" t="n">
        <v>51333.33333333334</v>
      </c>
      <c r="O13" s="111" t="n">
        <v>0</v>
      </c>
      <c r="P13" s="111" t="n">
        <v>0</v>
      </c>
      <c r="Q13" s="111" t="n">
        <v>0</v>
      </c>
      <c r="R13" s="111" t="n">
        <v>0</v>
      </c>
      <c r="S13" s="15" t="inlineStr">
        <is>
          <t>BSA</t>
        </is>
      </c>
      <c r="T13" s="15" t="inlineStr">
        <is>
          <t>BSA</t>
        </is>
      </c>
    </row>
    <row r="14">
      <c r="C14" s="12" t="inlineStr">
        <is>
          <t>BSA</t>
        </is>
      </c>
      <c r="D14" s="12" t="inlineStr">
        <is>
          <t>BSA</t>
        </is>
      </c>
      <c r="E14" s="12" t="inlineStr">
        <is>
          <t>4월 1주차</t>
        </is>
      </c>
      <c r="F14" s="12" t="inlineStr">
        <is>
          <t>네이버</t>
        </is>
      </c>
      <c r="G14" s="13" t="n">
        <v>45017</v>
      </c>
      <c r="H14" s="12" t="inlineStr">
        <is>
          <t>PC</t>
        </is>
      </c>
      <c r="I14" s="12" t="inlineStr">
        <is>
          <t>00.브랜드검색PCMO</t>
        </is>
      </c>
      <c r="J14" s="12" t="inlineStr">
        <is>
          <t>01.PC브랜드검색</t>
        </is>
      </c>
      <c r="K14" s="12" t="n"/>
      <c r="L14" s="111" t="n">
        <v>0</v>
      </c>
      <c r="M14" s="111" t="n">
        <v>0</v>
      </c>
      <c r="N14" s="111" t="n">
        <v>36666.66666666666</v>
      </c>
      <c r="O14" s="111" t="n">
        <v>0</v>
      </c>
      <c r="P14" s="111" t="n">
        <v>0</v>
      </c>
      <c r="Q14" s="111" t="n">
        <v>0</v>
      </c>
      <c r="R14" s="111" t="n">
        <v>0</v>
      </c>
      <c r="S14" s="15" t="inlineStr">
        <is>
          <t>BSA</t>
        </is>
      </c>
      <c r="T14" s="15" t="inlineStr">
        <is>
          <t>BSA</t>
        </is>
      </c>
    </row>
    <row r="15">
      <c r="C15" s="12" t="inlineStr">
        <is>
          <t>BSA</t>
        </is>
      </c>
      <c r="D15" s="12" t="inlineStr">
        <is>
          <t>BSA</t>
        </is>
      </c>
      <c r="E15" s="12" t="inlineStr">
        <is>
          <t>4월 1주차</t>
        </is>
      </c>
      <c r="F15" s="12" t="inlineStr">
        <is>
          <t>네이버</t>
        </is>
      </c>
      <c r="G15" s="13" t="n">
        <v>45017</v>
      </c>
      <c r="H15" s="12" t="inlineStr">
        <is>
          <t>MO</t>
        </is>
      </c>
      <c r="I15" s="12" t="inlineStr">
        <is>
          <t>00.브랜드검색PCMO</t>
        </is>
      </c>
      <c r="J15" s="12" t="inlineStr">
        <is>
          <t>01.MO브랜드검색</t>
        </is>
      </c>
      <c r="K15" s="12" t="n"/>
      <c r="L15" s="111" t="n">
        <v>0</v>
      </c>
      <c r="M15" s="111" t="n">
        <v>0</v>
      </c>
      <c r="N15" s="111" t="n">
        <v>51333.33333333334</v>
      </c>
      <c r="O15" s="111" t="n">
        <v>0</v>
      </c>
      <c r="P15" s="111" t="n">
        <v>0</v>
      </c>
      <c r="Q15" s="111" t="n">
        <v>0</v>
      </c>
      <c r="R15" s="111" t="n">
        <v>0</v>
      </c>
      <c r="S15" s="15" t="inlineStr">
        <is>
          <t>BSA</t>
        </is>
      </c>
      <c r="T15" s="15" t="inlineStr">
        <is>
          <t>BSA</t>
        </is>
      </c>
    </row>
    <row r="16">
      <c r="C16" s="12" t="inlineStr">
        <is>
          <t>BSA</t>
        </is>
      </c>
      <c r="D16" s="12" t="inlineStr">
        <is>
          <t>BSA</t>
        </is>
      </c>
      <c r="E16" s="12" t="inlineStr">
        <is>
          <t>4월 1주차</t>
        </is>
      </c>
      <c r="F16" s="12" t="inlineStr">
        <is>
          <t>네이버</t>
        </is>
      </c>
      <c r="G16" s="13" t="n">
        <v>45018</v>
      </c>
      <c r="H16" s="12" t="inlineStr">
        <is>
          <t>PC</t>
        </is>
      </c>
      <c r="I16" s="12" t="inlineStr">
        <is>
          <t>00.브랜드검색PCMO</t>
        </is>
      </c>
      <c r="J16" s="12" t="inlineStr">
        <is>
          <t>01.PC브랜드검색</t>
        </is>
      </c>
      <c r="K16" s="12" t="n"/>
      <c r="L16" s="111" t="n">
        <v>0</v>
      </c>
      <c r="M16" s="111" t="n">
        <v>0</v>
      </c>
      <c r="N16" s="111" t="n">
        <v>36666.66666666666</v>
      </c>
      <c r="O16" s="111" t="n">
        <v>0</v>
      </c>
      <c r="P16" s="111" t="n">
        <v>0</v>
      </c>
      <c r="Q16" s="111" t="n">
        <v>0</v>
      </c>
      <c r="R16" s="111" t="n">
        <v>0</v>
      </c>
      <c r="S16" s="15" t="inlineStr">
        <is>
          <t>BSA</t>
        </is>
      </c>
      <c r="T16" s="15" t="inlineStr">
        <is>
          <t>BSA</t>
        </is>
      </c>
    </row>
    <row r="17">
      <c r="C17" s="12" t="inlineStr">
        <is>
          <t>BSA</t>
        </is>
      </c>
      <c r="D17" s="12" t="inlineStr">
        <is>
          <t>BSA</t>
        </is>
      </c>
      <c r="E17" s="12" t="inlineStr">
        <is>
          <t>4월 1주차</t>
        </is>
      </c>
      <c r="F17" s="12" t="inlineStr">
        <is>
          <t>네이버</t>
        </is>
      </c>
      <c r="G17" s="13" t="n">
        <v>45018</v>
      </c>
      <c r="H17" s="12" t="inlineStr">
        <is>
          <t>MO</t>
        </is>
      </c>
      <c r="I17" s="12" t="inlineStr">
        <is>
          <t>00.브랜드검색PCMO</t>
        </is>
      </c>
      <c r="J17" s="12" t="inlineStr">
        <is>
          <t>01.MO브랜드검색</t>
        </is>
      </c>
      <c r="K17" s="12" t="n"/>
      <c r="L17" s="111" t="n">
        <v>0</v>
      </c>
      <c r="M17" s="111" t="n">
        <v>0</v>
      </c>
      <c r="N17" s="111" t="n">
        <v>51333.33333333334</v>
      </c>
      <c r="O17" s="111" t="n">
        <v>0</v>
      </c>
      <c r="P17" s="111" t="n">
        <v>0</v>
      </c>
      <c r="Q17" s="111" t="n">
        <v>0</v>
      </c>
      <c r="R17" s="111" t="n">
        <v>0</v>
      </c>
      <c r="S17" s="15" t="inlineStr">
        <is>
          <t>BSA</t>
        </is>
      </c>
      <c r="T17" s="15" t="inlineStr">
        <is>
          <t>BSA</t>
        </is>
      </c>
    </row>
    <row r="18">
      <c r="C18" s="12" t="inlineStr">
        <is>
          <t>BSA</t>
        </is>
      </c>
      <c r="D18" s="12" t="inlineStr">
        <is>
          <t>BSA</t>
        </is>
      </c>
      <c r="E18" s="12" t="inlineStr">
        <is>
          <t>4월 2주차</t>
        </is>
      </c>
      <c r="F18" s="12" t="inlineStr">
        <is>
          <t>네이버</t>
        </is>
      </c>
      <c r="G18" s="13" t="n">
        <v>45017</v>
      </c>
      <c r="H18" s="12" t="inlineStr">
        <is>
          <t>PC</t>
        </is>
      </c>
      <c r="I18" s="12" t="inlineStr">
        <is>
          <t>00.브랜드검색PCMO</t>
        </is>
      </c>
      <c r="J18" s="12" t="inlineStr">
        <is>
          <t>01.PC브랜드검색</t>
        </is>
      </c>
      <c r="K18" s="12" t="n"/>
      <c r="L18" s="111" t="n">
        <v>0</v>
      </c>
      <c r="M18" s="111" t="n">
        <v>0</v>
      </c>
      <c r="N18" s="111" t="n">
        <v>36666.66666666666</v>
      </c>
      <c r="O18" s="111" t="n">
        <v>0</v>
      </c>
      <c r="P18" s="111" t="n">
        <v>0</v>
      </c>
      <c r="Q18" s="111" t="n">
        <v>0</v>
      </c>
      <c r="R18" s="111" t="n">
        <v>0</v>
      </c>
      <c r="S18" s="15" t="inlineStr">
        <is>
          <t>BSA</t>
        </is>
      </c>
      <c r="T18" s="15" t="inlineStr">
        <is>
          <t>BSA</t>
        </is>
      </c>
    </row>
    <row r="19">
      <c r="C19" s="12" t="inlineStr">
        <is>
          <t>BSA</t>
        </is>
      </c>
      <c r="D19" s="12" t="inlineStr">
        <is>
          <t>BSA</t>
        </is>
      </c>
      <c r="E19" s="12" t="inlineStr">
        <is>
          <t>4월 2주차</t>
        </is>
      </c>
      <c r="F19" s="12" t="inlineStr">
        <is>
          <t>네이버</t>
        </is>
      </c>
      <c r="G19" s="13" t="n">
        <v>45017</v>
      </c>
      <c r="H19" s="12" t="inlineStr">
        <is>
          <t>MO</t>
        </is>
      </c>
      <c r="I19" s="12" t="inlineStr">
        <is>
          <t>00.브랜드검색PCMO</t>
        </is>
      </c>
      <c r="J19" s="12" t="inlineStr">
        <is>
          <t>01.MO브랜드검색</t>
        </is>
      </c>
      <c r="K19" s="12" t="n"/>
      <c r="L19" s="111" t="n">
        <v>0</v>
      </c>
      <c r="M19" s="111" t="n">
        <v>0</v>
      </c>
      <c r="N19" s="111" t="n">
        <v>51333.33333333334</v>
      </c>
      <c r="O19" s="111" t="n">
        <v>0</v>
      </c>
      <c r="P19" s="111" t="n">
        <v>0</v>
      </c>
      <c r="Q19" s="111" t="n">
        <v>0</v>
      </c>
      <c r="R19" s="111" t="n">
        <v>0</v>
      </c>
      <c r="S19" s="15" t="inlineStr">
        <is>
          <t>BSA</t>
        </is>
      </c>
      <c r="T19" s="15" t="inlineStr">
        <is>
          <t>BSA</t>
        </is>
      </c>
    </row>
    <row r="20">
      <c r="C20" s="12" t="inlineStr">
        <is>
          <t>BSA</t>
        </is>
      </c>
      <c r="D20" s="12" t="inlineStr">
        <is>
          <t>BSA</t>
        </is>
      </c>
      <c r="E20" s="12" t="inlineStr">
        <is>
          <t>4월 2주차</t>
        </is>
      </c>
      <c r="F20" s="12" t="inlineStr">
        <is>
          <t>네이버</t>
        </is>
      </c>
      <c r="G20" s="13" t="n">
        <v>45018</v>
      </c>
      <c r="H20" s="12" t="inlineStr">
        <is>
          <t>PC</t>
        </is>
      </c>
      <c r="I20" s="12" t="inlineStr">
        <is>
          <t>00.브랜드검색PCMO</t>
        </is>
      </c>
      <c r="J20" s="12" t="inlineStr">
        <is>
          <t>01.PC브랜드검색</t>
        </is>
      </c>
      <c r="K20" s="12" t="n"/>
      <c r="L20" s="111" t="n">
        <v>0</v>
      </c>
      <c r="M20" s="111" t="n">
        <v>0</v>
      </c>
      <c r="N20" s="111" t="n">
        <v>36666.66666666666</v>
      </c>
      <c r="O20" s="111" t="n">
        <v>0</v>
      </c>
      <c r="P20" s="111" t="n">
        <v>0</v>
      </c>
      <c r="Q20" s="111" t="n">
        <v>0</v>
      </c>
      <c r="R20" s="111" t="n">
        <v>0</v>
      </c>
      <c r="S20" s="15" t="inlineStr">
        <is>
          <t>BSA</t>
        </is>
      </c>
      <c r="T20" s="15" t="inlineStr">
        <is>
          <t>BSA</t>
        </is>
      </c>
    </row>
    <row r="21">
      <c r="C21" s="12" t="inlineStr">
        <is>
          <t>BSA</t>
        </is>
      </c>
      <c r="D21" s="12" t="inlineStr">
        <is>
          <t>BSA</t>
        </is>
      </c>
      <c r="E21" s="12" t="inlineStr">
        <is>
          <t>4월 2주차</t>
        </is>
      </c>
      <c r="F21" s="12" t="inlineStr">
        <is>
          <t>네이버</t>
        </is>
      </c>
      <c r="G21" s="13" t="n">
        <v>45018</v>
      </c>
      <c r="H21" s="12" t="inlineStr">
        <is>
          <t>MO</t>
        </is>
      </c>
      <c r="I21" s="12" t="inlineStr">
        <is>
          <t>00.브랜드검색PCMO</t>
        </is>
      </c>
      <c r="J21" s="12" t="inlineStr">
        <is>
          <t>01.MO브랜드검색</t>
        </is>
      </c>
      <c r="K21" s="12" t="n"/>
      <c r="L21" s="111" t="n">
        <v>0</v>
      </c>
      <c r="M21" s="111" t="n">
        <v>0</v>
      </c>
      <c r="N21" s="111" t="n">
        <v>51333.33333333334</v>
      </c>
      <c r="O21" s="111" t="n">
        <v>0</v>
      </c>
      <c r="P21" s="111" t="n">
        <v>0</v>
      </c>
      <c r="Q21" s="111" t="n">
        <v>0</v>
      </c>
      <c r="R21" s="111" t="n">
        <v>0</v>
      </c>
      <c r="S21" s="15" t="inlineStr">
        <is>
          <t>BSA</t>
        </is>
      </c>
      <c r="T21" s="15" t="inlineStr">
        <is>
          <t>BSA</t>
        </is>
      </c>
    </row>
    <row r="24">
      <c r="C24" s="12" t="inlineStr">
        <is>
          <t>BSA</t>
        </is>
      </c>
      <c r="D24" s="12" t="inlineStr">
        <is>
          <t>BSA</t>
        </is>
      </c>
      <c r="E24" s="12" t="inlineStr">
        <is>
          <t>4월 2주차</t>
        </is>
      </c>
      <c r="F24" s="12" t="inlineStr">
        <is>
          <t>네이버</t>
        </is>
      </c>
      <c r="G24" s="13" t="n">
        <v>45019</v>
      </c>
      <c r="H24" s="12" t="inlineStr">
        <is>
          <t>PC</t>
        </is>
      </c>
      <c r="I24" s="12" t="inlineStr">
        <is>
          <t>00.브랜드검색PCMO</t>
        </is>
      </c>
      <c r="J24" s="12" t="inlineStr">
        <is>
          <t>01.PC브랜드검색</t>
        </is>
      </c>
      <c r="K24" s="12" t="n"/>
      <c r="L24" s="111" t="n">
        <v>0</v>
      </c>
      <c r="M24" s="111" t="n">
        <v>0</v>
      </c>
      <c r="N24" s="111" t="n">
        <v>36666.66666666666</v>
      </c>
      <c r="O24" s="111" t="n">
        <v>0</v>
      </c>
      <c r="P24" s="111" t="n">
        <v>0</v>
      </c>
      <c r="Q24" s="111" t="n">
        <v>0</v>
      </c>
      <c r="R24" s="111" t="n">
        <v>0</v>
      </c>
      <c r="S24" s="15" t="inlineStr">
        <is>
          <t>BSA</t>
        </is>
      </c>
      <c r="T24" s="15" t="inlineStr">
        <is>
          <t>BSA</t>
        </is>
      </c>
    </row>
    <row r="25">
      <c r="C25" s="12" t="inlineStr">
        <is>
          <t>BSA</t>
        </is>
      </c>
      <c r="D25" s="12" t="inlineStr">
        <is>
          <t>BSA</t>
        </is>
      </c>
      <c r="E25" s="12" t="inlineStr">
        <is>
          <t>4월 2주차</t>
        </is>
      </c>
      <c r="F25" s="12" t="inlineStr">
        <is>
          <t>네이버</t>
        </is>
      </c>
      <c r="G25" s="13" t="n">
        <v>45019</v>
      </c>
      <c r="H25" s="12" t="inlineStr">
        <is>
          <t>MO</t>
        </is>
      </c>
      <c r="I25" s="12" t="inlineStr">
        <is>
          <t>00.브랜드검색PCMO</t>
        </is>
      </c>
      <c r="J25" s="12" t="inlineStr">
        <is>
          <t>01.MO브랜드검색</t>
        </is>
      </c>
      <c r="K25" s="12" t="n"/>
      <c r="L25" s="111" t="n">
        <v>0</v>
      </c>
      <c r="M25" s="111" t="n">
        <v>0</v>
      </c>
      <c r="N25" s="111" t="n">
        <v>51333.33333333334</v>
      </c>
      <c r="O25" s="111" t="n">
        <v>0</v>
      </c>
      <c r="P25" s="111" t="n">
        <v>0</v>
      </c>
      <c r="Q25" s="111" t="n">
        <v>0</v>
      </c>
      <c r="R25" s="111" t="n">
        <v>0</v>
      </c>
      <c r="S25" s="15" t="inlineStr">
        <is>
          <t>BSA</t>
        </is>
      </c>
      <c r="T25" s="15" t="inlineStr">
        <is>
          <t>BSA</t>
        </is>
      </c>
    </row>
    <row r="26">
      <c r="C26" s="12" t="inlineStr">
        <is>
          <t>BSA</t>
        </is>
      </c>
      <c r="D26" s="12" t="inlineStr">
        <is>
          <t>BSA</t>
        </is>
      </c>
      <c r="E26" s="12" t="inlineStr">
        <is>
          <t>4월 2주차</t>
        </is>
      </c>
      <c r="F26" s="12" t="inlineStr">
        <is>
          <t>네이버</t>
        </is>
      </c>
      <c r="G26" s="13" t="n">
        <v>45020</v>
      </c>
      <c r="H26" s="12" t="inlineStr">
        <is>
          <t>PC</t>
        </is>
      </c>
      <c r="I26" s="12" t="inlineStr">
        <is>
          <t>00.브랜드검색PCMO</t>
        </is>
      </c>
      <c r="J26" s="12" t="inlineStr">
        <is>
          <t>01.PC브랜드검색</t>
        </is>
      </c>
      <c r="K26" s="12" t="n"/>
      <c r="L26" s="111" t="n">
        <v>0</v>
      </c>
      <c r="M26" s="111" t="n">
        <v>0</v>
      </c>
      <c r="N26" s="111" t="n">
        <v>36666.66666666666</v>
      </c>
      <c r="O26" s="111" t="n">
        <v>0</v>
      </c>
      <c r="P26" s="111" t="n">
        <v>0</v>
      </c>
      <c r="Q26" s="111" t="n">
        <v>0</v>
      </c>
      <c r="R26" s="111" t="n">
        <v>0</v>
      </c>
      <c r="S26" s="15" t="inlineStr">
        <is>
          <t>BSA</t>
        </is>
      </c>
      <c r="T26" s="15" t="inlineStr">
        <is>
          <t>BSA</t>
        </is>
      </c>
    </row>
    <row r="27">
      <c r="C27" s="12" t="inlineStr">
        <is>
          <t>BSA</t>
        </is>
      </c>
      <c r="D27" s="12" t="inlineStr">
        <is>
          <t>BSA</t>
        </is>
      </c>
      <c r="E27" s="12" t="inlineStr">
        <is>
          <t>4월 2주차</t>
        </is>
      </c>
      <c r="F27" s="12" t="inlineStr">
        <is>
          <t>네이버</t>
        </is>
      </c>
      <c r="G27" s="13" t="n">
        <v>45020</v>
      </c>
      <c r="H27" s="12" t="inlineStr">
        <is>
          <t>MO</t>
        </is>
      </c>
      <c r="I27" s="12" t="inlineStr">
        <is>
          <t>00.브랜드검색PCMO</t>
        </is>
      </c>
      <c r="J27" s="12" t="inlineStr">
        <is>
          <t>01.MO브랜드검색</t>
        </is>
      </c>
      <c r="K27" s="12" t="n"/>
      <c r="L27" s="111" t="n">
        <v>0</v>
      </c>
      <c r="M27" s="111" t="n">
        <v>0</v>
      </c>
      <c r="N27" s="111" t="n">
        <v>51333.33333333334</v>
      </c>
      <c r="O27" s="111" t="n">
        <v>0</v>
      </c>
      <c r="P27" s="111" t="n">
        <v>0</v>
      </c>
      <c r="Q27" s="111" t="n">
        <v>0</v>
      </c>
      <c r="R27" s="111" t="n">
        <v>0</v>
      </c>
      <c r="S27" s="15" t="inlineStr">
        <is>
          <t>BSA</t>
        </is>
      </c>
      <c r="T27" s="15" t="inlineStr">
        <is>
          <t>BSA</t>
        </is>
      </c>
    </row>
    <row r="28">
      <c r="C28" s="12" t="inlineStr">
        <is>
          <t>BSA</t>
        </is>
      </c>
      <c r="D28" s="12" t="inlineStr">
        <is>
          <t>BSA</t>
        </is>
      </c>
      <c r="E28" s="12" t="inlineStr">
        <is>
          <t>4월 2주차</t>
        </is>
      </c>
      <c r="F28" s="12" t="inlineStr">
        <is>
          <t>네이버</t>
        </is>
      </c>
      <c r="G28" s="13" t="n">
        <v>45021</v>
      </c>
      <c r="H28" s="12" t="inlineStr">
        <is>
          <t>PC</t>
        </is>
      </c>
      <c r="I28" s="12" t="inlineStr">
        <is>
          <t>00.브랜드검색PCMO</t>
        </is>
      </c>
      <c r="J28" s="12" t="inlineStr">
        <is>
          <t>01.PC브랜드검색</t>
        </is>
      </c>
      <c r="K28" s="12" t="n"/>
      <c r="L28" s="111" t="n">
        <v>0</v>
      </c>
      <c r="M28" s="111" t="n">
        <v>0</v>
      </c>
      <c r="N28" s="111" t="n">
        <v>36666.66666666666</v>
      </c>
      <c r="O28" s="111" t="n">
        <v>0</v>
      </c>
      <c r="P28" s="111" t="n">
        <v>0</v>
      </c>
      <c r="Q28" s="111" t="n">
        <v>0</v>
      </c>
      <c r="R28" s="111" t="n">
        <v>0</v>
      </c>
      <c r="S28" s="15" t="inlineStr">
        <is>
          <t>BSA</t>
        </is>
      </c>
      <c r="T28" s="15" t="inlineStr">
        <is>
          <t>BSA</t>
        </is>
      </c>
    </row>
    <row r="29">
      <c r="C29" s="12" t="inlineStr">
        <is>
          <t>BSA</t>
        </is>
      </c>
      <c r="D29" s="12" t="inlineStr">
        <is>
          <t>BSA</t>
        </is>
      </c>
      <c r="E29" s="12" t="inlineStr">
        <is>
          <t>4월 2주차</t>
        </is>
      </c>
      <c r="F29" s="12" t="inlineStr">
        <is>
          <t>네이버</t>
        </is>
      </c>
      <c r="G29" s="13" t="n">
        <v>45021</v>
      </c>
      <c r="H29" s="12" t="inlineStr">
        <is>
          <t>MO</t>
        </is>
      </c>
      <c r="I29" s="12" t="inlineStr">
        <is>
          <t>00.브랜드검색PCMO</t>
        </is>
      </c>
      <c r="J29" s="12" t="inlineStr">
        <is>
          <t>01.MO브랜드검색</t>
        </is>
      </c>
      <c r="K29" s="12" t="n"/>
      <c r="L29" s="111" t="n">
        <v>0</v>
      </c>
      <c r="M29" s="111" t="n">
        <v>0</v>
      </c>
      <c r="N29" s="111" t="n">
        <v>51333.33333333334</v>
      </c>
      <c r="O29" s="111" t="n">
        <v>0</v>
      </c>
      <c r="P29" s="111" t="n">
        <v>0</v>
      </c>
      <c r="Q29" s="111" t="n">
        <v>0</v>
      </c>
      <c r="R29" s="111" t="n">
        <v>0</v>
      </c>
      <c r="S29" s="15" t="inlineStr">
        <is>
          <t>BSA</t>
        </is>
      </c>
      <c r="T29" s="15" t="inlineStr">
        <is>
          <t>BSA</t>
        </is>
      </c>
    </row>
    <row r="30">
      <c r="C30" s="12" t="inlineStr">
        <is>
          <t>BSA</t>
        </is>
      </c>
      <c r="D30" s="12" t="inlineStr">
        <is>
          <t>BSA</t>
        </is>
      </c>
      <c r="E30" s="12" t="inlineStr">
        <is>
          <t>4월 2주차</t>
        </is>
      </c>
      <c r="F30" s="12" t="inlineStr">
        <is>
          <t>네이버</t>
        </is>
      </c>
      <c r="G30" s="13" t="n">
        <v>45022</v>
      </c>
      <c r="H30" s="12" t="inlineStr">
        <is>
          <t>PC</t>
        </is>
      </c>
      <c r="I30" s="12" t="inlineStr">
        <is>
          <t>00.브랜드검색PCMO</t>
        </is>
      </c>
      <c r="J30" s="12" t="inlineStr">
        <is>
          <t>01.PC브랜드검색</t>
        </is>
      </c>
      <c r="K30" s="12" t="n"/>
      <c r="L30" s="111" t="n">
        <v>0</v>
      </c>
      <c r="M30" s="111" t="n">
        <v>0</v>
      </c>
      <c r="N30" s="111" t="n">
        <v>36666.66666666666</v>
      </c>
      <c r="O30" s="111" t="n">
        <v>0</v>
      </c>
      <c r="P30" s="111" t="n">
        <v>0</v>
      </c>
      <c r="Q30" s="111" t="n">
        <v>0</v>
      </c>
      <c r="R30" s="111" t="n">
        <v>0</v>
      </c>
      <c r="S30" s="15" t="inlineStr">
        <is>
          <t>BSA</t>
        </is>
      </c>
      <c r="T30" s="15" t="inlineStr">
        <is>
          <t>BSA</t>
        </is>
      </c>
    </row>
    <row r="31">
      <c r="C31" s="12" t="inlineStr">
        <is>
          <t>BSA</t>
        </is>
      </c>
      <c r="D31" s="12" t="inlineStr">
        <is>
          <t>BSA</t>
        </is>
      </c>
      <c r="E31" s="12" t="inlineStr">
        <is>
          <t>4월 2주차</t>
        </is>
      </c>
      <c r="F31" s="12" t="inlineStr">
        <is>
          <t>네이버</t>
        </is>
      </c>
      <c r="G31" s="13" t="n">
        <v>45022</v>
      </c>
      <c r="H31" s="12" t="inlineStr">
        <is>
          <t>MO</t>
        </is>
      </c>
      <c r="I31" s="12" t="inlineStr">
        <is>
          <t>00.브랜드검색PCMO</t>
        </is>
      </c>
      <c r="J31" s="12" t="inlineStr">
        <is>
          <t>01.MO브랜드검색</t>
        </is>
      </c>
      <c r="K31" s="12" t="n"/>
      <c r="L31" s="111" t="n">
        <v>0</v>
      </c>
      <c r="M31" s="111" t="n">
        <v>0</v>
      </c>
      <c r="N31" s="111" t="n">
        <v>51333.33333333334</v>
      </c>
      <c r="O31" s="111" t="n">
        <v>0</v>
      </c>
      <c r="P31" s="111" t="n">
        <v>0</v>
      </c>
      <c r="Q31" s="111" t="n">
        <v>0</v>
      </c>
      <c r="R31" s="111" t="n">
        <v>0</v>
      </c>
      <c r="S31" s="15" t="inlineStr">
        <is>
          <t>BSA</t>
        </is>
      </c>
      <c r="T31" s="15" t="inlineStr">
        <is>
          <t>BSA</t>
        </is>
      </c>
    </row>
    <row r="32">
      <c r="C32" s="12" t="inlineStr">
        <is>
          <t>BSA</t>
        </is>
      </c>
      <c r="D32" s="12" t="inlineStr">
        <is>
          <t>BSA</t>
        </is>
      </c>
      <c r="E32" s="12" t="inlineStr">
        <is>
          <t>4월 2주차</t>
        </is>
      </c>
      <c r="F32" s="12" t="inlineStr">
        <is>
          <t>네이버</t>
        </is>
      </c>
      <c r="G32" s="13" t="n">
        <v>45023</v>
      </c>
      <c r="H32" s="12" t="inlineStr">
        <is>
          <t>PC</t>
        </is>
      </c>
      <c r="I32" s="12" t="inlineStr">
        <is>
          <t>00.브랜드검색PCMO</t>
        </is>
      </c>
      <c r="J32" s="12" t="inlineStr">
        <is>
          <t>01.PC브랜드검색</t>
        </is>
      </c>
      <c r="K32" s="12" t="n"/>
      <c r="L32" s="111" t="n">
        <v>0</v>
      </c>
      <c r="M32" s="111" t="n">
        <v>0</v>
      </c>
      <c r="N32" s="111" t="n">
        <v>36666.66666666666</v>
      </c>
      <c r="O32" s="111" t="n">
        <v>0</v>
      </c>
      <c r="P32" s="111" t="n">
        <v>0</v>
      </c>
      <c r="Q32" s="111" t="n">
        <v>0</v>
      </c>
      <c r="R32" s="111" t="n">
        <v>0</v>
      </c>
      <c r="S32" s="15" t="inlineStr">
        <is>
          <t>BSA</t>
        </is>
      </c>
      <c r="T32" s="15" t="inlineStr">
        <is>
          <t>BSA</t>
        </is>
      </c>
    </row>
    <row r="33">
      <c r="C33" s="12" t="inlineStr">
        <is>
          <t>BSA</t>
        </is>
      </c>
      <c r="D33" s="12" t="inlineStr">
        <is>
          <t>BSA</t>
        </is>
      </c>
      <c r="E33" s="12" t="inlineStr">
        <is>
          <t>4월 2주차</t>
        </is>
      </c>
      <c r="F33" s="12" t="inlineStr">
        <is>
          <t>네이버</t>
        </is>
      </c>
      <c r="G33" s="13" t="n">
        <v>45023</v>
      </c>
      <c r="H33" s="12" t="inlineStr">
        <is>
          <t>MO</t>
        </is>
      </c>
      <c r="I33" s="12" t="inlineStr">
        <is>
          <t>00.브랜드검색PCMO</t>
        </is>
      </c>
      <c r="J33" s="12" t="inlineStr">
        <is>
          <t>01.MO브랜드검색</t>
        </is>
      </c>
      <c r="K33" s="12" t="n"/>
      <c r="L33" s="111" t="n">
        <v>0</v>
      </c>
      <c r="M33" s="111" t="n">
        <v>0</v>
      </c>
      <c r="N33" s="111" t="n">
        <v>51333.33333333334</v>
      </c>
      <c r="O33" s="111" t="n">
        <v>0</v>
      </c>
      <c r="P33" s="111" t="n">
        <v>0</v>
      </c>
      <c r="Q33" s="111" t="n">
        <v>0</v>
      </c>
      <c r="R33" s="111" t="n">
        <v>0</v>
      </c>
      <c r="S33" s="15" t="inlineStr">
        <is>
          <t>BSA</t>
        </is>
      </c>
      <c r="T33" s="15" t="inlineStr">
        <is>
          <t>BSA</t>
        </is>
      </c>
    </row>
    <row r="34">
      <c r="C34" s="12" t="inlineStr">
        <is>
          <t>BSA</t>
        </is>
      </c>
      <c r="D34" s="12" t="inlineStr">
        <is>
          <t>BSA</t>
        </is>
      </c>
      <c r="E34" s="12" t="inlineStr">
        <is>
          <t>4월 2주차</t>
        </is>
      </c>
      <c r="F34" s="12" t="inlineStr">
        <is>
          <t>네이버</t>
        </is>
      </c>
      <c r="G34" s="13" t="n">
        <v>45024</v>
      </c>
      <c r="H34" s="12" t="inlineStr">
        <is>
          <t>PC</t>
        </is>
      </c>
      <c r="I34" s="12" t="inlineStr">
        <is>
          <t>00.브랜드검색PCMO</t>
        </is>
      </c>
      <c r="J34" s="12" t="inlineStr">
        <is>
          <t>01.PC브랜드검색</t>
        </is>
      </c>
      <c r="K34" s="12" t="n"/>
      <c r="L34" s="111" t="n">
        <v>0</v>
      </c>
      <c r="M34" s="111" t="n">
        <v>0</v>
      </c>
      <c r="N34" s="111" t="n">
        <v>36666.66666666666</v>
      </c>
      <c r="O34" s="111" t="n">
        <v>0</v>
      </c>
      <c r="P34" s="111" t="n">
        <v>0</v>
      </c>
      <c r="Q34" s="111" t="n">
        <v>0</v>
      </c>
      <c r="R34" s="111" t="n">
        <v>0</v>
      </c>
      <c r="S34" s="15" t="inlineStr">
        <is>
          <t>BSA</t>
        </is>
      </c>
      <c r="T34" s="15" t="inlineStr">
        <is>
          <t>BSA</t>
        </is>
      </c>
    </row>
    <row r="35">
      <c r="C35" s="12" t="inlineStr">
        <is>
          <t>BSA</t>
        </is>
      </c>
      <c r="D35" s="12" t="inlineStr">
        <is>
          <t>BSA</t>
        </is>
      </c>
      <c r="E35" s="12" t="inlineStr">
        <is>
          <t>4월 2주차</t>
        </is>
      </c>
      <c r="F35" s="12" t="inlineStr">
        <is>
          <t>네이버</t>
        </is>
      </c>
      <c r="G35" s="13" t="n">
        <v>45024</v>
      </c>
      <c r="H35" s="12" t="inlineStr">
        <is>
          <t>MO</t>
        </is>
      </c>
      <c r="I35" s="12" t="inlineStr">
        <is>
          <t>00.브랜드검색PCMO</t>
        </is>
      </c>
      <c r="J35" s="12" t="inlineStr">
        <is>
          <t>01.MO브랜드검색</t>
        </is>
      </c>
      <c r="K35" s="12" t="n"/>
      <c r="L35" s="111" t="n">
        <v>0</v>
      </c>
      <c r="M35" s="111" t="n">
        <v>0</v>
      </c>
      <c r="N35" s="111" t="n">
        <v>51333.33333333334</v>
      </c>
      <c r="O35" s="111" t="n">
        <v>0</v>
      </c>
      <c r="P35" s="111" t="n">
        <v>0</v>
      </c>
      <c r="Q35" s="111" t="n">
        <v>0</v>
      </c>
      <c r="R35" s="111" t="n">
        <v>0</v>
      </c>
      <c r="S35" s="15" t="inlineStr">
        <is>
          <t>BSA</t>
        </is>
      </c>
      <c r="T35" s="15" t="inlineStr">
        <is>
          <t>BSA</t>
        </is>
      </c>
    </row>
    <row r="36">
      <c r="C36" s="12" t="inlineStr">
        <is>
          <t>BSA</t>
        </is>
      </c>
      <c r="D36" s="12" t="inlineStr">
        <is>
          <t>BSA</t>
        </is>
      </c>
      <c r="E36" s="12" t="inlineStr">
        <is>
          <t>4월 2주차</t>
        </is>
      </c>
      <c r="F36" s="12" t="inlineStr">
        <is>
          <t>네이버</t>
        </is>
      </c>
      <c r="G36" s="13" t="n">
        <v>45025</v>
      </c>
      <c r="H36" s="12" t="inlineStr">
        <is>
          <t>PC</t>
        </is>
      </c>
      <c r="I36" s="12" t="inlineStr">
        <is>
          <t>00.브랜드검색PCMO</t>
        </is>
      </c>
      <c r="J36" s="12" t="inlineStr">
        <is>
          <t>01.PC브랜드검색</t>
        </is>
      </c>
      <c r="K36" s="12" t="n"/>
      <c r="L36" s="111" t="n">
        <v>0</v>
      </c>
      <c r="M36" s="111" t="n">
        <v>0</v>
      </c>
      <c r="N36" s="111" t="n">
        <v>36666.66666666666</v>
      </c>
      <c r="O36" s="111" t="n">
        <v>0</v>
      </c>
      <c r="P36" s="111" t="n">
        <v>0</v>
      </c>
      <c r="Q36" s="111" t="n">
        <v>0</v>
      </c>
      <c r="R36" s="111" t="n">
        <v>0</v>
      </c>
      <c r="S36" s="15" t="inlineStr">
        <is>
          <t>BSA</t>
        </is>
      </c>
      <c r="T36" s="15" t="inlineStr">
        <is>
          <t>BSA</t>
        </is>
      </c>
    </row>
    <row r="37">
      <c r="C37" s="12" t="inlineStr">
        <is>
          <t>BSA</t>
        </is>
      </c>
      <c r="D37" s="12" t="inlineStr">
        <is>
          <t>BSA</t>
        </is>
      </c>
      <c r="E37" s="12" t="inlineStr">
        <is>
          <t>4월 2주차</t>
        </is>
      </c>
      <c r="F37" s="12" t="inlineStr">
        <is>
          <t>네이버</t>
        </is>
      </c>
      <c r="G37" s="13" t="n">
        <v>45025</v>
      </c>
      <c r="H37" s="12" t="inlineStr">
        <is>
          <t>MO</t>
        </is>
      </c>
      <c r="I37" s="12" t="inlineStr">
        <is>
          <t>00.브랜드검색PCMO</t>
        </is>
      </c>
      <c r="J37" s="12" t="inlineStr">
        <is>
          <t>01.MO브랜드검색</t>
        </is>
      </c>
      <c r="K37" s="12" t="n"/>
      <c r="L37" s="111" t="n">
        <v>0</v>
      </c>
      <c r="M37" s="111" t="n">
        <v>0</v>
      </c>
      <c r="N37" s="111" t="n">
        <v>51333.33333333334</v>
      </c>
      <c r="O37" s="111" t="n">
        <v>0</v>
      </c>
      <c r="P37" s="111" t="n">
        <v>0</v>
      </c>
      <c r="Q37" s="111" t="n">
        <v>0</v>
      </c>
      <c r="R37" s="111" t="n">
        <v>0</v>
      </c>
      <c r="S37" s="15" t="inlineStr">
        <is>
          <t>BSA</t>
        </is>
      </c>
      <c r="T37" s="15" t="inlineStr">
        <is>
          <t>BSA</t>
        </is>
      </c>
    </row>
    <row r="38">
      <c r="C38" s="12" t="n"/>
      <c r="D38" s="12" t="n"/>
      <c r="E38" s="12" t="n"/>
      <c r="F38" s="12" t="n"/>
      <c r="G38" s="13" t="n"/>
      <c r="H38" s="12" t="n"/>
      <c r="I38" s="12" t="n"/>
      <c r="J38" s="12" t="n"/>
      <c r="K38" s="12" t="n"/>
      <c r="L38" s="111" t="n"/>
      <c r="M38" s="111" t="n"/>
      <c r="N38" s="111" t="n"/>
      <c r="O38" s="111" t="n"/>
      <c r="P38" s="111" t="n"/>
      <c r="Q38" s="111" t="n"/>
      <c r="R38" s="111" t="n"/>
      <c r="S38" s="15" t="n"/>
      <c r="T38" s="15" t="n"/>
    </row>
    <row r="39">
      <c r="C39" s="12" t="n"/>
      <c r="D39" s="12" t="n"/>
      <c r="E39" s="12" t="n"/>
      <c r="F39" s="12" t="n"/>
      <c r="G39" s="13" t="n"/>
      <c r="H39" s="12" t="n"/>
      <c r="I39" s="12" t="n"/>
      <c r="J39" s="12" t="n"/>
      <c r="K39" s="12" t="n"/>
      <c r="L39" s="111" t="n"/>
      <c r="M39" s="111" t="n"/>
      <c r="N39" s="111" t="n"/>
      <c r="O39" s="111" t="n"/>
      <c r="P39" s="111" t="n"/>
      <c r="Q39" s="111" t="n"/>
      <c r="R39" s="111" t="n"/>
      <c r="S39" s="15" t="n"/>
      <c r="T39" s="15" t="n"/>
    </row>
    <row r="40">
      <c r="C40" s="12" t="inlineStr">
        <is>
          <t>BSA</t>
        </is>
      </c>
      <c r="D40" s="12" t="inlineStr">
        <is>
          <t>BSA</t>
        </is>
      </c>
      <c r="E40" s="12" t="inlineStr">
        <is>
          <t>당월</t>
        </is>
      </c>
      <c r="F40" s="12" t="inlineStr">
        <is>
          <t>4월 4주차</t>
        </is>
      </c>
      <c r="G40" s="12" t="inlineStr">
        <is>
          <t>네이버</t>
        </is>
      </c>
      <c r="H40" s="13" t="n">
        <v>45033</v>
      </c>
      <c r="I40" s="12" t="inlineStr">
        <is>
          <t>PC</t>
        </is>
      </c>
      <c r="J40" s="12" t="inlineStr">
        <is>
          <t>00.브랜드검색PCMO</t>
        </is>
      </c>
      <c r="K40" s="12" t="inlineStr">
        <is>
          <t>01.PC브랜드검색</t>
        </is>
      </c>
      <c r="L40" s="12" t="n"/>
      <c r="M40" s="111" t="n">
        <v>0</v>
      </c>
      <c r="N40" s="111" t="n">
        <v>0</v>
      </c>
      <c r="O40" s="111" t="n">
        <v>36666.66666666666</v>
      </c>
      <c r="P40" s="111" t="n">
        <v>0</v>
      </c>
      <c r="Q40" s="111" t="n">
        <v>0</v>
      </c>
      <c r="R40" s="111" t="n">
        <v>0</v>
      </c>
      <c r="S40" s="111" t="n">
        <v>0</v>
      </c>
      <c r="T40" s="15" t="inlineStr">
        <is>
          <t>BSA</t>
        </is>
      </c>
      <c r="U40" s="15" t="inlineStr">
        <is>
          <t>BSA</t>
        </is>
      </c>
    </row>
    <row r="41">
      <c r="C41" s="12" t="inlineStr">
        <is>
          <t>BSA</t>
        </is>
      </c>
      <c r="D41" s="12" t="inlineStr">
        <is>
          <t>BSA</t>
        </is>
      </c>
      <c r="E41" s="12" t="inlineStr">
        <is>
          <t>당월</t>
        </is>
      </c>
      <c r="F41" s="12" t="inlineStr">
        <is>
          <t>4월 4주차</t>
        </is>
      </c>
      <c r="G41" s="12" t="inlineStr">
        <is>
          <t>네이버</t>
        </is>
      </c>
      <c r="H41" s="13" t="n">
        <v>45033</v>
      </c>
      <c r="I41" s="12" t="inlineStr">
        <is>
          <t>MO</t>
        </is>
      </c>
      <c r="J41" s="12" t="inlineStr">
        <is>
          <t>00.브랜드검색PCMO</t>
        </is>
      </c>
      <c r="K41" s="12" t="inlineStr">
        <is>
          <t>01.MO브랜드검색</t>
        </is>
      </c>
      <c r="L41" s="12" t="n"/>
      <c r="M41" s="111" t="n">
        <v>0</v>
      </c>
      <c r="N41" s="111" t="n">
        <v>0</v>
      </c>
      <c r="O41" s="111" t="n">
        <v>51333.33333333334</v>
      </c>
      <c r="P41" s="111" t="n">
        <v>0</v>
      </c>
      <c r="Q41" s="111" t="n">
        <v>0</v>
      </c>
      <c r="R41" s="111" t="n">
        <v>0</v>
      </c>
      <c r="S41" s="111" t="n">
        <v>0</v>
      </c>
      <c r="T41" s="15" t="inlineStr">
        <is>
          <t>BSA</t>
        </is>
      </c>
      <c r="U41" s="15" t="inlineStr">
        <is>
          <t>BSA</t>
        </is>
      </c>
    </row>
    <row r="42">
      <c r="C42" s="12" t="inlineStr">
        <is>
          <t>BSA</t>
        </is>
      </c>
      <c r="D42" s="12" t="inlineStr">
        <is>
          <t>BSA</t>
        </is>
      </c>
      <c r="E42" s="12" t="inlineStr">
        <is>
          <t>당월</t>
        </is>
      </c>
      <c r="F42" s="12" t="inlineStr">
        <is>
          <t>4월 4주차</t>
        </is>
      </c>
      <c r="G42" s="12" t="inlineStr">
        <is>
          <t>네이버</t>
        </is>
      </c>
      <c r="H42" s="13" t="n">
        <v>45034</v>
      </c>
      <c r="I42" s="12" t="inlineStr">
        <is>
          <t>PC</t>
        </is>
      </c>
      <c r="J42" s="12" t="inlineStr">
        <is>
          <t>00.브랜드검색PCMO</t>
        </is>
      </c>
      <c r="K42" s="12" t="inlineStr">
        <is>
          <t>01.PC브랜드검색</t>
        </is>
      </c>
      <c r="L42" s="12" t="n"/>
      <c r="M42" s="111" t="n">
        <v>0</v>
      </c>
      <c r="N42" s="111" t="n">
        <v>0</v>
      </c>
      <c r="O42" s="111" t="n">
        <v>36666.66666666666</v>
      </c>
      <c r="P42" s="111" t="n">
        <v>0</v>
      </c>
      <c r="Q42" s="111" t="n">
        <v>0</v>
      </c>
      <c r="R42" s="111" t="n">
        <v>0</v>
      </c>
      <c r="S42" s="111" t="n">
        <v>0</v>
      </c>
      <c r="T42" s="15" t="inlineStr">
        <is>
          <t>BSA</t>
        </is>
      </c>
      <c r="U42" s="15" t="inlineStr">
        <is>
          <t>BSA</t>
        </is>
      </c>
    </row>
    <row r="43">
      <c r="C43" s="12" t="inlineStr">
        <is>
          <t>BSA</t>
        </is>
      </c>
      <c r="D43" s="12" t="inlineStr">
        <is>
          <t>BSA</t>
        </is>
      </c>
      <c r="E43" s="12" t="inlineStr">
        <is>
          <t>당월</t>
        </is>
      </c>
      <c r="F43" s="12" t="inlineStr">
        <is>
          <t>4월 4주차</t>
        </is>
      </c>
      <c r="G43" s="12" t="inlineStr">
        <is>
          <t>네이버</t>
        </is>
      </c>
      <c r="H43" s="13" t="n">
        <v>45034</v>
      </c>
      <c r="I43" s="12" t="inlineStr">
        <is>
          <t>MO</t>
        </is>
      </c>
      <c r="J43" s="12" t="inlineStr">
        <is>
          <t>00.브랜드검색PCMO</t>
        </is>
      </c>
      <c r="K43" s="12" t="inlineStr">
        <is>
          <t>01.MO브랜드검색</t>
        </is>
      </c>
      <c r="L43" s="12" t="n"/>
      <c r="M43" s="111" t="n">
        <v>0</v>
      </c>
      <c r="N43" s="111" t="n">
        <v>0</v>
      </c>
      <c r="O43" s="111" t="n">
        <v>51333.33333333334</v>
      </c>
      <c r="P43" s="111" t="n">
        <v>0</v>
      </c>
      <c r="Q43" s="111" t="n">
        <v>0</v>
      </c>
      <c r="R43" s="111" t="n">
        <v>0</v>
      </c>
      <c r="S43" s="111" t="n">
        <v>0</v>
      </c>
      <c r="T43" s="15" t="inlineStr">
        <is>
          <t>BSA</t>
        </is>
      </c>
      <c r="U43" s="15" t="inlineStr">
        <is>
          <t>BSA</t>
        </is>
      </c>
    </row>
    <row r="44">
      <c r="C44" s="12" t="inlineStr">
        <is>
          <t>BSA</t>
        </is>
      </c>
      <c r="D44" s="12" t="inlineStr">
        <is>
          <t>BSA</t>
        </is>
      </c>
      <c r="E44" s="12" t="inlineStr">
        <is>
          <t>당월</t>
        </is>
      </c>
      <c r="F44" s="12" t="inlineStr">
        <is>
          <t>4월 4주차</t>
        </is>
      </c>
      <c r="G44" s="12" t="inlineStr">
        <is>
          <t>네이버</t>
        </is>
      </c>
      <c r="H44" s="13" t="n">
        <v>45035</v>
      </c>
      <c r="I44" s="12" t="inlineStr">
        <is>
          <t>PC</t>
        </is>
      </c>
      <c r="J44" s="12" t="inlineStr">
        <is>
          <t>00.브랜드검색PCMO</t>
        </is>
      </c>
      <c r="K44" s="12" t="inlineStr">
        <is>
          <t>01.PC브랜드검색</t>
        </is>
      </c>
      <c r="L44" s="12" t="n"/>
      <c r="M44" s="111" t="n">
        <v>0</v>
      </c>
      <c r="N44" s="111" t="n">
        <v>0</v>
      </c>
      <c r="O44" s="111" t="n">
        <v>36666.66666666666</v>
      </c>
      <c r="P44" s="111" t="n">
        <v>0</v>
      </c>
      <c r="Q44" s="111" t="n">
        <v>0</v>
      </c>
      <c r="R44" s="111" t="n">
        <v>0</v>
      </c>
      <c r="S44" s="111" t="n">
        <v>0</v>
      </c>
      <c r="T44" s="15" t="inlineStr">
        <is>
          <t>BSA</t>
        </is>
      </c>
      <c r="U44" s="15" t="inlineStr">
        <is>
          <t>BSA</t>
        </is>
      </c>
    </row>
    <row r="45">
      <c r="C45" s="12" t="inlineStr">
        <is>
          <t>BSA</t>
        </is>
      </c>
      <c r="D45" s="12" t="inlineStr">
        <is>
          <t>BSA</t>
        </is>
      </c>
      <c r="E45" s="12" t="inlineStr">
        <is>
          <t>당월</t>
        </is>
      </c>
      <c r="F45" s="12" t="inlineStr">
        <is>
          <t>4월 4주차</t>
        </is>
      </c>
      <c r="G45" s="12" t="inlineStr">
        <is>
          <t>네이버</t>
        </is>
      </c>
      <c r="H45" s="13" t="n">
        <v>45035</v>
      </c>
      <c r="I45" s="12" t="inlineStr">
        <is>
          <t>MO</t>
        </is>
      </c>
      <c r="J45" s="12" t="inlineStr">
        <is>
          <t>00.브랜드검색PCMO</t>
        </is>
      </c>
      <c r="K45" s="12" t="inlineStr">
        <is>
          <t>01.MO브랜드검색</t>
        </is>
      </c>
      <c r="L45" s="12" t="n"/>
      <c r="M45" s="111" t="n">
        <v>0</v>
      </c>
      <c r="N45" s="111" t="n">
        <v>0</v>
      </c>
      <c r="O45" s="111" t="n">
        <v>51333.33333333334</v>
      </c>
      <c r="P45" s="111" t="n">
        <v>0</v>
      </c>
      <c r="Q45" s="111" t="n">
        <v>0</v>
      </c>
      <c r="R45" s="111" t="n">
        <v>0</v>
      </c>
      <c r="S45" s="111" t="n">
        <v>0</v>
      </c>
      <c r="T45" s="15" t="inlineStr">
        <is>
          <t>BSA</t>
        </is>
      </c>
      <c r="U45" s="15" t="inlineStr">
        <is>
          <t>BSA</t>
        </is>
      </c>
    </row>
    <row r="46">
      <c r="C46" s="12" t="inlineStr">
        <is>
          <t>BSA</t>
        </is>
      </c>
      <c r="D46" s="12" t="inlineStr">
        <is>
          <t>BSA</t>
        </is>
      </c>
      <c r="E46" s="12" t="inlineStr">
        <is>
          <t>당월</t>
        </is>
      </c>
      <c r="F46" s="12" t="inlineStr">
        <is>
          <t>4월 4주차</t>
        </is>
      </c>
      <c r="G46" s="12" t="inlineStr">
        <is>
          <t>네이버</t>
        </is>
      </c>
      <c r="H46" s="13" t="n">
        <v>45036</v>
      </c>
      <c r="I46" s="12" t="inlineStr">
        <is>
          <t>PC</t>
        </is>
      </c>
      <c r="J46" s="12" t="inlineStr">
        <is>
          <t>00.브랜드검색PCMO</t>
        </is>
      </c>
      <c r="K46" s="12" t="inlineStr">
        <is>
          <t>01.PC브랜드검색</t>
        </is>
      </c>
      <c r="L46" s="12" t="n"/>
      <c r="M46" s="111" t="n">
        <v>0</v>
      </c>
      <c r="N46" s="111" t="n">
        <v>0</v>
      </c>
      <c r="O46" s="111" t="n">
        <v>36666.66666666666</v>
      </c>
      <c r="P46" s="111" t="n">
        <v>0</v>
      </c>
      <c r="Q46" s="111" t="n">
        <v>0</v>
      </c>
      <c r="R46" s="111" t="n">
        <v>0</v>
      </c>
      <c r="S46" s="111" t="n">
        <v>0</v>
      </c>
      <c r="T46" s="15" t="inlineStr">
        <is>
          <t>BSA</t>
        </is>
      </c>
      <c r="U46" s="15" t="inlineStr">
        <is>
          <t>BSA</t>
        </is>
      </c>
    </row>
    <row r="47">
      <c r="C47" s="12" t="inlineStr">
        <is>
          <t>BSA</t>
        </is>
      </c>
      <c r="D47" s="12" t="inlineStr">
        <is>
          <t>BSA</t>
        </is>
      </c>
      <c r="E47" s="12" t="inlineStr">
        <is>
          <t>당월</t>
        </is>
      </c>
      <c r="F47" s="12" t="inlineStr">
        <is>
          <t>4월 4주차</t>
        </is>
      </c>
      <c r="G47" s="12" t="inlineStr">
        <is>
          <t>네이버</t>
        </is>
      </c>
      <c r="H47" s="13" t="n">
        <v>45036</v>
      </c>
      <c r="I47" s="12" t="inlineStr">
        <is>
          <t>MO</t>
        </is>
      </c>
      <c r="J47" s="12" t="inlineStr">
        <is>
          <t>00.브랜드검색PCMO</t>
        </is>
      </c>
      <c r="K47" s="12" t="inlineStr">
        <is>
          <t>01.MO브랜드검색</t>
        </is>
      </c>
      <c r="L47" s="12" t="n"/>
      <c r="M47" s="111" t="n">
        <v>0</v>
      </c>
      <c r="N47" s="111" t="n">
        <v>0</v>
      </c>
      <c r="O47" s="111" t="n">
        <v>51333.33333333334</v>
      </c>
      <c r="P47" s="111" t="n">
        <v>0</v>
      </c>
      <c r="Q47" s="111" t="n">
        <v>0</v>
      </c>
      <c r="R47" s="111" t="n">
        <v>0</v>
      </c>
      <c r="S47" s="111" t="n">
        <v>0</v>
      </c>
      <c r="T47" s="15" t="inlineStr">
        <is>
          <t>BSA</t>
        </is>
      </c>
      <c r="U47" s="15" t="inlineStr">
        <is>
          <t>BSA</t>
        </is>
      </c>
    </row>
    <row r="48">
      <c r="C48" s="12" t="inlineStr">
        <is>
          <t>BSA</t>
        </is>
      </c>
      <c r="D48" s="12" t="inlineStr">
        <is>
          <t>BSA</t>
        </is>
      </c>
      <c r="E48" s="12" t="inlineStr">
        <is>
          <t>당월</t>
        </is>
      </c>
      <c r="F48" s="12" t="inlineStr">
        <is>
          <t>4월 4주차</t>
        </is>
      </c>
      <c r="G48" s="12" t="inlineStr">
        <is>
          <t>네이버</t>
        </is>
      </c>
      <c r="H48" s="13" t="n">
        <v>45037</v>
      </c>
      <c r="I48" s="12" t="inlineStr">
        <is>
          <t>PC</t>
        </is>
      </c>
      <c r="J48" s="12" t="inlineStr">
        <is>
          <t>00.브랜드검색PCMO</t>
        </is>
      </c>
      <c r="K48" s="12" t="inlineStr">
        <is>
          <t>01.PC브랜드검색</t>
        </is>
      </c>
      <c r="L48" s="12" t="n"/>
      <c r="M48" s="111" t="n">
        <v>0</v>
      </c>
      <c r="N48" s="111" t="n">
        <v>0</v>
      </c>
      <c r="O48" s="111" t="n">
        <v>36666.66666666666</v>
      </c>
      <c r="P48" s="111" t="n">
        <v>0</v>
      </c>
      <c r="Q48" s="111" t="n">
        <v>0</v>
      </c>
      <c r="R48" s="111" t="n">
        <v>0</v>
      </c>
      <c r="S48" s="111" t="n">
        <v>0</v>
      </c>
      <c r="T48" s="15" t="inlineStr">
        <is>
          <t>BSA</t>
        </is>
      </c>
      <c r="U48" s="15" t="inlineStr">
        <is>
          <t>BSA</t>
        </is>
      </c>
    </row>
    <row r="49">
      <c r="C49" s="12" t="inlineStr">
        <is>
          <t>BSA</t>
        </is>
      </c>
      <c r="D49" s="12" t="inlineStr">
        <is>
          <t>BSA</t>
        </is>
      </c>
      <c r="E49" s="12" t="inlineStr">
        <is>
          <t>당월</t>
        </is>
      </c>
      <c r="F49" s="12" t="inlineStr">
        <is>
          <t>4월 4주차</t>
        </is>
      </c>
      <c r="G49" s="12" t="inlineStr">
        <is>
          <t>네이버</t>
        </is>
      </c>
      <c r="H49" s="13" t="n">
        <v>45037</v>
      </c>
      <c r="I49" s="12" t="inlineStr">
        <is>
          <t>MO</t>
        </is>
      </c>
      <c r="J49" s="12" t="inlineStr">
        <is>
          <t>00.브랜드검색PCMO</t>
        </is>
      </c>
      <c r="K49" s="12" t="inlineStr">
        <is>
          <t>01.MO브랜드검색</t>
        </is>
      </c>
      <c r="L49" s="12" t="n"/>
      <c r="M49" s="111" t="n">
        <v>0</v>
      </c>
      <c r="N49" s="111" t="n">
        <v>0</v>
      </c>
      <c r="O49" s="111" t="n">
        <v>51333.33333333334</v>
      </c>
      <c r="P49" s="111" t="n">
        <v>0</v>
      </c>
      <c r="Q49" s="111" t="n">
        <v>0</v>
      </c>
      <c r="R49" s="111" t="n">
        <v>0</v>
      </c>
      <c r="S49" s="111" t="n">
        <v>0</v>
      </c>
      <c r="T49" s="15" t="inlineStr">
        <is>
          <t>BSA</t>
        </is>
      </c>
      <c r="U49" s="15" t="inlineStr">
        <is>
          <t>BSA</t>
        </is>
      </c>
    </row>
    <row r="50">
      <c r="C50" s="12" t="inlineStr">
        <is>
          <t>BSA</t>
        </is>
      </c>
      <c r="D50" s="12" t="inlineStr">
        <is>
          <t>BSA</t>
        </is>
      </c>
      <c r="E50" s="12" t="inlineStr">
        <is>
          <t>당월</t>
        </is>
      </c>
      <c r="F50" s="12" t="inlineStr">
        <is>
          <t>4월 4주차</t>
        </is>
      </c>
      <c r="G50" s="12" t="inlineStr">
        <is>
          <t>네이버</t>
        </is>
      </c>
      <c r="H50" s="13" t="n">
        <v>45038</v>
      </c>
      <c r="I50" s="12" t="inlineStr">
        <is>
          <t>PC</t>
        </is>
      </c>
      <c r="J50" s="12" t="inlineStr">
        <is>
          <t>00.브랜드검색PCMO</t>
        </is>
      </c>
      <c r="K50" s="12" t="inlineStr">
        <is>
          <t>01.PC브랜드검색</t>
        </is>
      </c>
      <c r="L50" s="12" t="n"/>
      <c r="M50" s="111" t="n">
        <v>0</v>
      </c>
      <c r="N50" s="111" t="n">
        <v>0</v>
      </c>
      <c r="O50" s="111" t="n">
        <v>36666.66666666666</v>
      </c>
      <c r="P50" s="111" t="n">
        <v>0</v>
      </c>
      <c r="Q50" s="111" t="n">
        <v>0</v>
      </c>
      <c r="R50" s="111" t="n">
        <v>0</v>
      </c>
      <c r="S50" s="111" t="n">
        <v>0</v>
      </c>
      <c r="T50" s="15" t="inlineStr">
        <is>
          <t>BSA</t>
        </is>
      </c>
      <c r="U50" s="15" t="inlineStr">
        <is>
          <t>BSA</t>
        </is>
      </c>
    </row>
    <row r="51">
      <c r="C51" s="12" t="inlineStr">
        <is>
          <t>BSA</t>
        </is>
      </c>
      <c r="D51" s="12" t="inlineStr">
        <is>
          <t>BSA</t>
        </is>
      </c>
      <c r="E51" s="12" t="inlineStr">
        <is>
          <t>당월</t>
        </is>
      </c>
      <c r="F51" s="12" t="inlineStr">
        <is>
          <t>4월 4주차</t>
        </is>
      </c>
      <c r="G51" s="12" t="inlineStr">
        <is>
          <t>네이버</t>
        </is>
      </c>
      <c r="H51" s="13" t="n">
        <v>45038</v>
      </c>
      <c r="I51" s="12" t="inlineStr">
        <is>
          <t>MO</t>
        </is>
      </c>
      <c r="J51" s="12" t="inlineStr">
        <is>
          <t>00.브랜드검색PCMO</t>
        </is>
      </c>
      <c r="K51" s="12" t="inlineStr">
        <is>
          <t>01.MO브랜드검색</t>
        </is>
      </c>
      <c r="L51" s="12" t="n"/>
      <c r="M51" s="111" t="n">
        <v>0</v>
      </c>
      <c r="N51" s="111" t="n">
        <v>0</v>
      </c>
      <c r="O51" s="111" t="n">
        <v>51333.33333333334</v>
      </c>
      <c r="P51" s="111" t="n">
        <v>0</v>
      </c>
      <c r="Q51" s="111" t="n">
        <v>0</v>
      </c>
      <c r="R51" s="111" t="n">
        <v>0</v>
      </c>
      <c r="S51" s="111" t="n">
        <v>0</v>
      </c>
      <c r="T51" s="15" t="inlineStr">
        <is>
          <t>BSA</t>
        </is>
      </c>
      <c r="U51" s="15" t="inlineStr">
        <is>
          <t>BSA</t>
        </is>
      </c>
    </row>
    <row r="52">
      <c r="C52" s="12" t="inlineStr">
        <is>
          <t>BSA</t>
        </is>
      </c>
      <c r="D52" s="12" t="inlineStr">
        <is>
          <t>BSA</t>
        </is>
      </c>
      <c r="E52" s="12" t="inlineStr">
        <is>
          <t>당월</t>
        </is>
      </c>
      <c r="F52" s="12" t="inlineStr">
        <is>
          <t>4월 4주차</t>
        </is>
      </c>
      <c r="G52" s="12" t="inlineStr">
        <is>
          <t>네이버</t>
        </is>
      </c>
      <c r="H52" s="13" t="n">
        <v>45039</v>
      </c>
      <c r="I52" s="12" t="inlineStr">
        <is>
          <t>PC</t>
        </is>
      </c>
      <c r="J52" s="12" t="inlineStr">
        <is>
          <t>00.브랜드검색PCMO</t>
        </is>
      </c>
      <c r="K52" s="12" t="inlineStr">
        <is>
          <t>01.PC브랜드검색</t>
        </is>
      </c>
      <c r="L52" s="12" t="n"/>
      <c r="M52" s="111" t="n">
        <v>0</v>
      </c>
      <c r="N52" s="111" t="n">
        <v>0</v>
      </c>
      <c r="O52" s="111" t="n">
        <v>36666.66666666666</v>
      </c>
      <c r="P52" s="111" t="n">
        <v>0</v>
      </c>
      <c r="Q52" s="111" t="n">
        <v>0</v>
      </c>
      <c r="R52" s="111" t="n">
        <v>0</v>
      </c>
      <c r="S52" s="111" t="n">
        <v>0</v>
      </c>
      <c r="T52" s="15" t="inlineStr">
        <is>
          <t>BSA</t>
        </is>
      </c>
      <c r="U52" s="15" t="inlineStr">
        <is>
          <t>BSA</t>
        </is>
      </c>
    </row>
    <row r="53">
      <c r="C53" s="12" t="inlineStr">
        <is>
          <t>BSA</t>
        </is>
      </c>
      <c r="D53" s="12" t="inlineStr">
        <is>
          <t>BSA</t>
        </is>
      </c>
      <c r="E53" s="12" t="inlineStr">
        <is>
          <t>당월</t>
        </is>
      </c>
      <c r="F53" s="12" t="inlineStr">
        <is>
          <t>4월 4주차</t>
        </is>
      </c>
      <c r="G53" s="12" t="inlineStr">
        <is>
          <t>네이버</t>
        </is>
      </c>
      <c r="H53" s="13" t="n">
        <v>45039</v>
      </c>
      <c r="I53" s="12" t="inlineStr">
        <is>
          <t>MO</t>
        </is>
      </c>
      <c r="J53" s="12" t="inlineStr">
        <is>
          <t>00.브랜드검색PCMO</t>
        </is>
      </c>
      <c r="K53" s="12" t="inlineStr">
        <is>
          <t>01.MO브랜드검색</t>
        </is>
      </c>
      <c r="L53" s="12" t="n"/>
      <c r="M53" s="111" t="n">
        <v>0</v>
      </c>
      <c r="N53" s="111" t="n">
        <v>0</v>
      </c>
      <c r="O53" s="111" t="n">
        <v>51333.33333333334</v>
      </c>
      <c r="P53" s="111" t="n">
        <v>0</v>
      </c>
      <c r="Q53" s="111" t="n">
        <v>0</v>
      </c>
      <c r="R53" s="111" t="n">
        <v>0</v>
      </c>
      <c r="S53" s="111" t="n">
        <v>0</v>
      </c>
      <c r="T53" s="15" t="inlineStr">
        <is>
          <t>BSA</t>
        </is>
      </c>
      <c r="U53" s="15" t="inlineStr">
        <is>
          <t>BSA</t>
        </is>
      </c>
    </row>
    <row r="57">
      <c r="C57" s="12" t="inlineStr">
        <is>
          <t>BSA</t>
        </is>
      </c>
      <c r="D57" s="12" t="inlineStr">
        <is>
          <t>BSA</t>
        </is>
      </c>
      <c r="E57" s="12" t="inlineStr">
        <is>
          <t>당월</t>
        </is>
      </c>
      <c r="F57" s="12" t="inlineStr">
        <is>
          <t>4월 5주차</t>
        </is>
      </c>
      <c r="G57" s="12" t="inlineStr">
        <is>
          <t>네이버</t>
        </is>
      </c>
      <c r="H57" s="13" t="n">
        <v>45040</v>
      </c>
      <c r="I57" s="12" t="inlineStr">
        <is>
          <t>PC</t>
        </is>
      </c>
      <c r="J57" s="12" t="inlineStr">
        <is>
          <t>00.브랜드검색PCMO</t>
        </is>
      </c>
      <c r="K57" s="12" t="inlineStr">
        <is>
          <t>01.PC브랜드검색</t>
        </is>
      </c>
      <c r="L57" s="12" t="n"/>
      <c r="M57" s="111" t="n">
        <v>0</v>
      </c>
      <c r="N57" s="111" t="n">
        <v>0</v>
      </c>
      <c r="O57" s="111" t="n">
        <v>36666.66666666666</v>
      </c>
      <c r="P57" s="111" t="n">
        <v>0</v>
      </c>
      <c r="Q57" s="111" t="n">
        <v>0</v>
      </c>
      <c r="R57" s="111" t="n">
        <v>0</v>
      </c>
      <c r="S57" s="111" t="n">
        <v>0</v>
      </c>
      <c r="T57" s="15" t="inlineStr">
        <is>
          <t>BSA</t>
        </is>
      </c>
      <c r="U57" s="15" t="inlineStr">
        <is>
          <t>BSA</t>
        </is>
      </c>
    </row>
    <row r="58">
      <c r="C58" s="12" t="inlineStr">
        <is>
          <t>BSA</t>
        </is>
      </c>
      <c r="D58" s="12" t="inlineStr">
        <is>
          <t>BSA</t>
        </is>
      </c>
      <c r="E58" s="12" t="inlineStr">
        <is>
          <t>당월</t>
        </is>
      </c>
      <c r="F58" s="12" t="inlineStr">
        <is>
          <t>4월 5주차</t>
        </is>
      </c>
      <c r="G58" s="12" t="inlineStr">
        <is>
          <t>네이버</t>
        </is>
      </c>
      <c r="H58" s="13" t="n">
        <v>45040</v>
      </c>
      <c r="I58" s="12" t="inlineStr">
        <is>
          <t>MO</t>
        </is>
      </c>
      <c r="J58" s="12" t="inlineStr">
        <is>
          <t>00.브랜드검색PCMO</t>
        </is>
      </c>
      <c r="K58" s="12" t="inlineStr">
        <is>
          <t>01.MO브랜드검색</t>
        </is>
      </c>
      <c r="L58" s="12" t="n"/>
      <c r="M58" s="111" t="n">
        <v>0</v>
      </c>
      <c r="N58" s="111" t="n">
        <v>0</v>
      </c>
      <c r="O58" s="111" t="n">
        <v>51333.33333333334</v>
      </c>
      <c r="P58" s="111" t="n">
        <v>0</v>
      </c>
      <c r="Q58" s="111" t="n">
        <v>0</v>
      </c>
      <c r="R58" s="111" t="n">
        <v>0</v>
      </c>
      <c r="S58" s="111" t="n">
        <v>0</v>
      </c>
      <c r="T58" s="15" t="inlineStr">
        <is>
          <t>BSA</t>
        </is>
      </c>
      <c r="U58" s="15" t="inlineStr">
        <is>
          <t>BSA</t>
        </is>
      </c>
    </row>
    <row r="59">
      <c r="C59" s="12" t="inlineStr">
        <is>
          <t>BSA</t>
        </is>
      </c>
      <c r="D59" s="12" t="inlineStr">
        <is>
          <t>BSA</t>
        </is>
      </c>
      <c r="E59" s="12" t="inlineStr">
        <is>
          <t>당월</t>
        </is>
      </c>
      <c r="F59" s="12" t="inlineStr">
        <is>
          <t>4월 5주차</t>
        </is>
      </c>
      <c r="G59" s="12" t="inlineStr">
        <is>
          <t>네이버</t>
        </is>
      </c>
      <c r="H59" s="13" t="n">
        <v>45041</v>
      </c>
      <c r="I59" s="12" t="inlineStr">
        <is>
          <t>PC</t>
        </is>
      </c>
      <c r="J59" s="12" t="inlineStr">
        <is>
          <t>00.브랜드검색PCMO</t>
        </is>
      </c>
      <c r="K59" s="12" t="inlineStr">
        <is>
          <t>01.PC브랜드검색</t>
        </is>
      </c>
      <c r="L59" s="12" t="n"/>
      <c r="M59" s="111" t="n">
        <v>0</v>
      </c>
      <c r="N59" s="111" t="n">
        <v>0</v>
      </c>
      <c r="O59" s="111" t="n">
        <v>36666.66666666666</v>
      </c>
      <c r="P59" s="111" t="n">
        <v>0</v>
      </c>
      <c r="Q59" s="111" t="n">
        <v>0</v>
      </c>
      <c r="R59" s="111" t="n">
        <v>0</v>
      </c>
      <c r="S59" s="111" t="n">
        <v>0</v>
      </c>
      <c r="T59" s="15" t="inlineStr">
        <is>
          <t>BSA</t>
        </is>
      </c>
      <c r="U59" s="15" t="inlineStr">
        <is>
          <t>BSA</t>
        </is>
      </c>
    </row>
    <row r="60">
      <c r="C60" s="12" t="inlineStr">
        <is>
          <t>BSA</t>
        </is>
      </c>
      <c r="D60" s="12" t="inlineStr">
        <is>
          <t>BSA</t>
        </is>
      </c>
      <c r="E60" s="12" t="inlineStr">
        <is>
          <t>당월</t>
        </is>
      </c>
      <c r="F60" s="12" t="inlineStr">
        <is>
          <t>4월 5주차</t>
        </is>
      </c>
      <c r="G60" s="12" t="inlineStr">
        <is>
          <t>네이버</t>
        </is>
      </c>
      <c r="H60" s="13" t="n">
        <v>45041</v>
      </c>
      <c r="I60" s="12" t="inlineStr">
        <is>
          <t>MO</t>
        </is>
      </c>
      <c r="J60" s="12" t="inlineStr">
        <is>
          <t>00.브랜드검색PCMO</t>
        </is>
      </c>
      <c r="K60" s="12" t="inlineStr">
        <is>
          <t>01.MO브랜드검색</t>
        </is>
      </c>
      <c r="L60" s="12" t="n"/>
      <c r="M60" s="111" t="n">
        <v>0</v>
      </c>
      <c r="N60" s="111" t="n">
        <v>0</v>
      </c>
      <c r="O60" s="111" t="n">
        <v>51333.33333333334</v>
      </c>
      <c r="P60" s="111" t="n">
        <v>0</v>
      </c>
      <c r="Q60" s="111" t="n">
        <v>0</v>
      </c>
      <c r="R60" s="111" t="n">
        <v>0</v>
      </c>
      <c r="S60" s="111" t="n">
        <v>0</v>
      </c>
      <c r="T60" s="15" t="inlineStr">
        <is>
          <t>BSA</t>
        </is>
      </c>
      <c r="U60" s="15" t="inlineStr">
        <is>
          <t>BSA</t>
        </is>
      </c>
    </row>
    <row r="61">
      <c r="C61" s="12" t="inlineStr">
        <is>
          <t>BSA</t>
        </is>
      </c>
      <c r="D61" s="12" t="inlineStr">
        <is>
          <t>BSA</t>
        </is>
      </c>
      <c r="E61" s="12" t="inlineStr">
        <is>
          <t>당월</t>
        </is>
      </c>
      <c r="F61" s="12" t="inlineStr">
        <is>
          <t>4월 5주차</t>
        </is>
      </c>
      <c r="G61" s="12" t="inlineStr">
        <is>
          <t>네이버</t>
        </is>
      </c>
      <c r="H61" s="13" t="n">
        <v>45042</v>
      </c>
      <c r="I61" s="12" t="inlineStr">
        <is>
          <t>PC</t>
        </is>
      </c>
      <c r="J61" s="12" t="inlineStr">
        <is>
          <t>00.브랜드검색PCMO</t>
        </is>
      </c>
      <c r="K61" s="12" t="inlineStr">
        <is>
          <t>01.PC브랜드검색</t>
        </is>
      </c>
      <c r="L61" s="12" t="n"/>
      <c r="M61" s="111" t="n">
        <v>0</v>
      </c>
      <c r="N61" s="111" t="n">
        <v>0</v>
      </c>
      <c r="O61" s="111" t="n">
        <v>36666.66666666666</v>
      </c>
      <c r="P61" s="111" t="n">
        <v>0</v>
      </c>
      <c r="Q61" s="111" t="n">
        <v>0</v>
      </c>
      <c r="R61" s="111" t="n">
        <v>0</v>
      </c>
      <c r="S61" s="111" t="n">
        <v>0</v>
      </c>
      <c r="T61" s="15" t="inlineStr">
        <is>
          <t>BSA</t>
        </is>
      </c>
      <c r="U61" s="15" t="inlineStr">
        <is>
          <t>BSA</t>
        </is>
      </c>
    </row>
    <row r="62">
      <c r="C62" s="12" t="inlineStr">
        <is>
          <t>BSA</t>
        </is>
      </c>
      <c r="D62" s="12" t="inlineStr">
        <is>
          <t>BSA</t>
        </is>
      </c>
      <c r="E62" s="12" t="inlineStr">
        <is>
          <t>당월</t>
        </is>
      </c>
      <c r="F62" s="12" t="inlineStr">
        <is>
          <t>4월 5주차</t>
        </is>
      </c>
      <c r="G62" s="12" t="inlineStr">
        <is>
          <t>네이버</t>
        </is>
      </c>
      <c r="H62" s="13" t="n">
        <v>45042</v>
      </c>
      <c r="I62" s="12" t="inlineStr">
        <is>
          <t>MO</t>
        </is>
      </c>
      <c r="J62" s="12" t="inlineStr">
        <is>
          <t>00.브랜드검색PCMO</t>
        </is>
      </c>
      <c r="K62" s="12" t="inlineStr">
        <is>
          <t>01.MO브랜드검색</t>
        </is>
      </c>
      <c r="L62" s="12" t="n"/>
      <c r="M62" s="111" t="n">
        <v>0</v>
      </c>
      <c r="N62" s="111" t="n">
        <v>0</v>
      </c>
      <c r="O62" s="111" t="n">
        <v>51333.33333333334</v>
      </c>
      <c r="P62" s="111" t="n">
        <v>0</v>
      </c>
      <c r="Q62" s="111" t="n">
        <v>0</v>
      </c>
      <c r="R62" s="111" t="n">
        <v>0</v>
      </c>
      <c r="S62" s="111" t="n">
        <v>0</v>
      </c>
      <c r="T62" s="15" t="inlineStr">
        <is>
          <t>BSA</t>
        </is>
      </c>
      <c r="U62" s="15" t="inlineStr">
        <is>
          <t>BSA</t>
        </is>
      </c>
    </row>
    <row r="63">
      <c r="C63" s="12" t="inlineStr">
        <is>
          <t>BSA</t>
        </is>
      </c>
      <c r="D63" s="12" t="inlineStr">
        <is>
          <t>BSA</t>
        </is>
      </c>
      <c r="E63" s="12" t="inlineStr">
        <is>
          <t>당월</t>
        </is>
      </c>
      <c r="F63" s="12" t="inlineStr">
        <is>
          <t>4월 5주차</t>
        </is>
      </c>
      <c r="G63" s="12" t="inlineStr">
        <is>
          <t>네이버</t>
        </is>
      </c>
      <c r="H63" s="13" t="n">
        <v>45043</v>
      </c>
      <c r="I63" s="12" t="inlineStr">
        <is>
          <t>PC</t>
        </is>
      </c>
      <c r="J63" s="12" t="inlineStr">
        <is>
          <t>00.브랜드검색PCMO</t>
        </is>
      </c>
      <c r="K63" s="12" t="inlineStr">
        <is>
          <t>01.PC브랜드검색</t>
        </is>
      </c>
      <c r="L63" s="12" t="n"/>
      <c r="M63" s="111" t="n">
        <v>0</v>
      </c>
      <c r="N63" s="111" t="n">
        <v>0</v>
      </c>
      <c r="O63" s="111" t="n">
        <v>36666.66666666666</v>
      </c>
      <c r="P63" s="111" t="n">
        <v>0</v>
      </c>
      <c r="Q63" s="111" t="n">
        <v>0</v>
      </c>
      <c r="R63" s="111" t="n">
        <v>0</v>
      </c>
      <c r="S63" s="111" t="n">
        <v>0</v>
      </c>
      <c r="T63" s="15" t="inlineStr">
        <is>
          <t>BSA</t>
        </is>
      </c>
      <c r="U63" s="15" t="inlineStr">
        <is>
          <t>BSA</t>
        </is>
      </c>
    </row>
    <row r="64">
      <c r="C64" s="12" t="inlineStr">
        <is>
          <t>BSA</t>
        </is>
      </c>
      <c r="D64" s="12" t="inlineStr">
        <is>
          <t>BSA</t>
        </is>
      </c>
      <c r="E64" s="12" t="inlineStr">
        <is>
          <t>당월</t>
        </is>
      </c>
      <c r="F64" s="12" t="inlineStr">
        <is>
          <t>4월 5주차</t>
        </is>
      </c>
      <c r="G64" s="12" t="inlineStr">
        <is>
          <t>네이버</t>
        </is>
      </c>
      <c r="H64" s="13" t="n">
        <v>45043</v>
      </c>
      <c r="I64" s="12" t="inlineStr">
        <is>
          <t>MO</t>
        </is>
      </c>
      <c r="J64" s="12" t="inlineStr">
        <is>
          <t>00.브랜드검색PCMO</t>
        </is>
      </c>
      <c r="K64" s="12" t="inlineStr">
        <is>
          <t>01.MO브랜드검색</t>
        </is>
      </c>
      <c r="L64" s="12" t="n"/>
      <c r="M64" s="111" t="n">
        <v>0</v>
      </c>
      <c r="N64" s="111" t="n">
        <v>0</v>
      </c>
      <c r="O64" s="111" t="n">
        <v>51333.33333333334</v>
      </c>
      <c r="P64" s="111" t="n">
        <v>0</v>
      </c>
      <c r="Q64" s="111" t="n">
        <v>0</v>
      </c>
      <c r="R64" s="111" t="n">
        <v>0</v>
      </c>
      <c r="S64" s="111" t="n">
        <v>0</v>
      </c>
      <c r="T64" s="15" t="inlineStr">
        <is>
          <t>BSA</t>
        </is>
      </c>
      <c r="U64" s="15" t="inlineStr">
        <is>
          <t>BSA</t>
        </is>
      </c>
    </row>
    <row r="65">
      <c r="C65" s="12" t="inlineStr">
        <is>
          <t>BSA</t>
        </is>
      </c>
      <c r="D65" s="12" t="inlineStr">
        <is>
          <t>BSA</t>
        </is>
      </c>
      <c r="E65" s="12" t="inlineStr">
        <is>
          <t>당월</t>
        </is>
      </c>
      <c r="F65" s="12" t="inlineStr">
        <is>
          <t>4월 5주차</t>
        </is>
      </c>
      <c r="G65" s="12" t="inlineStr">
        <is>
          <t>네이버</t>
        </is>
      </c>
      <c r="H65" s="13" t="n">
        <v>45044</v>
      </c>
      <c r="I65" s="12" t="inlineStr">
        <is>
          <t>PC</t>
        </is>
      </c>
      <c r="J65" s="12" t="inlineStr">
        <is>
          <t>00.브랜드검색PCMO</t>
        </is>
      </c>
      <c r="K65" s="12" t="inlineStr">
        <is>
          <t>01.PC브랜드검색</t>
        </is>
      </c>
      <c r="L65" s="12" t="n"/>
      <c r="M65" s="111" t="n">
        <v>0</v>
      </c>
      <c r="N65" s="111" t="n">
        <v>0</v>
      </c>
      <c r="O65" s="111" t="n">
        <v>36666.66666666666</v>
      </c>
      <c r="P65" s="111" t="n">
        <v>0</v>
      </c>
      <c r="Q65" s="111" t="n">
        <v>0</v>
      </c>
      <c r="R65" s="111" t="n">
        <v>0</v>
      </c>
      <c r="S65" s="111" t="n">
        <v>0</v>
      </c>
      <c r="T65" s="15" t="inlineStr">
        <is>
          <t>BSA</t>
        </is>
      </c>
      <c r="U65" s="15" t="inlineStr">
        <is>
          <t>BSA</t>
        </is>
      </c>
    </row>
    <row r="66">
      <c r="C66" s="12" t="inlineStr">
        <is>
          <t>BSA</t>
        </is>
      </c>
      <c r="D66" s="12" t="inlineStr">
        <is>
          <t>BSA</t>
        </is>
      </c>
      <c r="E66" s="12" t="inlineStr">
        <is>
          <t>당월</t>
        </is>
      </c>
      <c r="F66" s="12" t="inlineStr">
        <is>
          <t>4월 5주차</t>
        </is>
      </c>
      <c r="G66" s="12" t="inlineStr">
        <is>
          <t>네이버</t>
        </is>
      </c>
      <c r="H66" s="13" t="n">
        <v>45044</v>
      </c>
      <c r="I66" s="12" t="inlineStr">
        <is>
          <t>MO</t>
        </is>
      </c>
      <c r="J66" s="12" t="inlineStr">
        <is>
          <t>00.브랜드검색PCMO</t>
        </is>
      </c>
      <c r="K66" s="12" t="inlineStr">
        <is>
          <t>01.MO브랜드검색</t>
        </is>
      </c>
      <c r="L66" s="12" t="n"/>
      <c r="M66" s="111" t="n">
        <v>0</v>
      </c>
      <c r="N66" s="111" t="n">
        <v>0</v>
      </c>
      <c r="O66" s="111" t="n">
        <v>51333.33333333334</v>
      </c>
      <c r="P66" s="111" t="n">
        <v>0</v>
      </c>
      <c r="Q66" s="111" t="n">
        <v>0</v>
      </c>
      <c r="R66" s="111" t="n">
        <v>0</v>
      </c>
      <c r="S66" s="111" t="n">
        <v>0</v>
      </c>
      <c r="T66" s="15" t="inlineStr">
        <is>
          <t>BSA</t>
        </is>
      </c>
      <c r="U66" s="15" t="inlineStr">
        <is>
          <t>BSA</t>
        </is>
      </c>
    </row>
    <row r="67">
      <c r="C67" s="12" t="inlineStr">
        <is>
          <t>BSA</t>
        </is>
      </c>
      <c r="D67" s="12" t="inlineStr">
        <is>
          <t>BSA</t>
        </is>
      </c>
      <c r="E67" s="12" t="inlineStr">
        <is>
          <t>당월</t>
        </is>
      </c>
      <c r="F67" s="12" t="inlineStr">
        <is>
          <t>4월 5주차</t>
        </is>
      </c>
      <c r="G67" s="12" t="inlineStr">
        <is>
          <t>네이버</t>
        </is>
      </c>
      <c r="H67" s="13" t="n">
        <v>45045</v>
      </c>
      <c r="I67" s="12" t="inlineStr">
        <is>
          <t>PC</t>
        </is>
      </c>
      <c r="J67" s="12" t="inlineStr">
        <is>
          <t>00.브랜드검색PCMO</t>
        </is>
      </c>
      <c r="K67" s="12" t="inlineStr">
        <is>
          <t>01.PC브랜드검색</t>
        </is>
      </c>
      <c r="L67" s="12" t="n"/>
      <c r="M67" s="111" t="n">
        <v>0</v>
      </c>
      <c r="N67" s="111" t="n">
        <v>0</v>
      </c>
      <c r="O67" s="111" t="n">
        <v>36666.66666666666</v>
      </c>
      <c r="P67" s="111" t="n">
        <v>0</v>
      </c>
      <c r="Q67" s="111" t="n">
        <v>0</v>
      </c>
      <c r="R67" s="111" t="n">
        <v>0</v>
      </c>
      <c r="S67" s="111" t="n">
        <v>0</v>
      </c>
      <c r="T67" s="15" t="inlineStr">
        <is>
          <t>BSA</t>
        </is>
      </c>
      <c r="U67" s="15" t="inlineStr">
        <is>
          <t>BSA</t>
        </is>
      </c>
    </row>
    <row r="68">
      <c r="C68" s="12" t="inlineStr">
        <is>
          <t>BSA</t>
        </is>
      </c>
      <c r="D68" s="12" t="inlineStr">
        <is>
          <t>BSA</t>
        </is>
      </c>
      <c r="E68" s="12" t="inlineStr">
        <is>
          <t>당월</t>
        </is>
      </c>
      <c r="F68" s="12" t="inlineStr">
        <is>
          <t>4월 5주차</t>
        </is>
      </c>
      <c r="G68" s="12" t="inlineStr">
        <is>
          <t>네이버</t>
        </is>
      </c>
      <c r="H68" s="13" t="n">
        <v>45045</v>
      </c>
      <c r="I68" s="12" t="inlineStr">
        <is>
          <t>MO</t>
        </is>
      </c>
      <c r="J68" s="12" t="inlineStr">
        <is>
          <t>00.브랜드검색PCMO</t>
        </is>
      </c>
      <c r="K68" s="12" t="inlineStr">
        <is>
          <t>01.MO브랜드검색</t>
        </is>
      </c>
      <c r="L68" s="12" t="n"/>
      <c r="M68" s="111" t="n">
        <v>0</v>
      </c>
      <c r="N68" s="111" t="n">
        <v>0</v>
      </c>
      <c r="O68" s="111" t="n">
        <v>51333.33333333334</v>
      </c>
      <c r="P68" s="111" t="n">
        <v>0</v>
      </c>
      <c r="Q68" s="111" t="n">
        <v>0</v>
      </c>
      <c r="R68" s="111" t="n">
        <v>0</v>
      </c>
      <c r="S68" s="111" t="n">
        <v>0</v>
      </c>
      <c r="T68" s="15" t="inlineStr">
        <is>
          <t>BSA</t>
        </is>
      </c>
      <c r="U68" s="15" t="inlineStr">
        <is>
          <t>BSA</t>
        </is>
      </c>
    </row>
    <row r="69">
      <c r="C69" s="12" t="inlineStr">
        <is>
          <t>BSA</t>
        </is>
      </c>
      <c r="D69" s="12" t="inlineStr">
        <is>
          <t>BSA</t>
        </is>
      </c>
      <c r="E69" s="12" t="inlineStr">
        <is>
          <t>당월</t>
        </is>
      </c>
      <c r="F69" s="12" t="inlineStr">
        <is>
          <t>4월 5주차</t>
        </is>
      </c>
      <c r="G69" s="12" t="inlineStr">
        <is>
          <t>네이버</t>
        </is>
      </c>
      <c r="H69" s="13" t="n">
        <v>45046</v>
      </c>
      <c r="I69" s="12" t="inlineStr">
        <is>
          <t>PC</t>
        </is>
      </c>
      <c r="J69" s="12" t="inlineStr">
        <is>
          <t>00.브랜드검색PCMO</t>
        </is>
      </c>
      <c r="K69" s="12" t="inlineStr">
        <is>
          <t>01.PC브랜드검색</t>
        </is>
      </c>
      <c r="L69" s="12" t="n"/>
      <c r="M69" s="111" t="n">
        <v>0</v>
      </c>
      <c r="N69" s="111" t="n">
        <v>0</v>
      </c>
      <c r="O69" s="111" t="n">
        <v>36666.66666666666</v>
      </c>
      <c r="P69" s="111" t="n">
        <v>0</v>
      </c>
      <c r="Q69" s="111" t="n">
        <v>0</v>
      </c>
      <c r="R69" s="111" t="n">
        <v>0</v>
      </c>
      <c r="S69" s="111" t="n">
        <v>0</v>
      </c>
      <c r="T69" s="15" t="inlineStr">
        <is>
          <t>BSA</t>
        </is>
      </c>
      <c r="U69" s="15" t="inlineStr">
        <is>
          <t>BSA</t>
        </is>
      </c>
    </row>
    <row r="70">
      <c r="C70" s="12" t="inlineStr">
        <is>
          <t>BSA</t>
        </is>
      </c>
      <c r="D70" s="12" t="inlineStr">
        <is>
          <t>BSA</t>
        </is>
      </c>
      <c r="E70" s="12" t="inlineStr">
        <is>
          <t>당월</t>
        </is>
      </c>
      <c r="F70" s="12" t="inlineStr">
        <is>
          <t>4월 5주차</t>
        </is>
      </c>
      <c r="G70" s="12" t="inlineStr">
        <is>
          <t>네이버</t>
        </is>
      </c>
      <c r="H70" s="13" t="n">
        <v>45046</v>
      </c>
      <c r="I70" s="12" t="inlineStr">
        <is>
          <t>MO</t>
        </is>
      </c>
      <c r="J70" s="12" t="inlineStr">
        <is>
          <t>00.브랜드검색PCMO</t>
        </is>
      </c>
      <c r="K70" s="12" t="inlineStr">
        <is>
          <t>01.MO브랜드검색</t>
        </is>
      </c>
      <c r="L70" s="12" t="n"/>
      <c r="M70" s="111" t="n">
        <v>0</v>
      </c>
      <c r="N70" s="111" t="n">
        <v>0</v>
      </c>
      <c r="O70" s="111" t="n">
        <v>51333.33333333334</v>
      </c>
      <c r="P70" s="111" t="n">
        <v>0</v>
      </c>
      <c r="Q70" s="111" t="n">
        <v>0</v>
      </c>
      <c r="R70" s="111" t="n">
        <v>0</v>
      </c>
      <c r="S70" s="111" t="n">
        <v>0</v>
      </c>
      <c r="T70" s="15" t="inlineStr">
        <is>
          <t>BSA</t>
        </is>
      </c>
      <c r="U70" s="15" t="inlineStr">
        <is>
          <t>BSA</t>
        </is>
      </c>
    </row>
    <row r="74">
      <c r="C74" s="12" t="inlineStr">
        <is>
          <t>BSA</t>
        </is>
      </c>
      <c r="D74" s="12" t="inlineStr">
        <is>
          <t>BSA</t>
        </is>
      </c>
      <c r="E74" s="12" t="inlineStr">
        <is>
          <t>당월</t>
        </is>
      </c>
      <c r="F74" s="12" t="inlineStr">
        <is>
          <t>5월 1주차</t>
        </is>
      </c>
      <c r="G74" s="12" t="inlineStr">
        <is>
          <t>네이버</t>
        </is>
      </c>
      <c r="H74" s="13" t="n">
        <v>45047</v>
      </c>
      <c r="I74" s="12" t="inlineStr">
        <is>
          <t>PC</t>
        </is>
      </c>
      <c r="J74" s="12" t="inlineStr">
        <is>
          <t>00.브랜드검색PCMO</t>
        </is>
      </c>
      <c r="K74" s="12" t="inlineStr">
        <is>
          <t>01.PC브랜드검색</t>
        </is>
      </c>
      <c r="L74" s="12" t="n"/>
      <c r="M74" s="111" t="n">
        <v>0</v>
      </c>
      <c r="N74" s="111" t="n">
        <v>0</v>
      </c>
      <c r="O74" s="111" t="n">
        <v>37078.65168539326</v>
      </c>
      <c r="P74" s="111" t="n">
        <v>0</v>
      </c>
      <c r="Q74" s="111" t="n">
        <v>0</v>
      </c>
      <c r="R74" s="111" t="n">
        <v>0</v>
      </c>
      <c r="S74" s="111" t="n">
        <v>0</v>
      </c>
      <c r="T74" s="15" t="inlineStr">
        <is>
          <t>BSA</t>
        </is>
      </c>
      <c r="U74" s="15" t="inlineStr">
        <is>
          <t>BSA</t>
        </is>
      </c>
    </row>
    <row r="75">
      <c r="C75" s="12" t="inlineStr">
        <is>
          <t>BSA</t>
        </is>
      </c>
      <c r="D75" s="12" t="inlineStr">
        <is>
          <t>BSA</t>
        </is>
      </c>
      <c r="E75" s="12" t="inlineStr">
        <is>
          <t>당월</t>
        </is>
      </c>
      <c r="F75" s="12" t="inlineStr">
        <is>
          <t>5월 1주차</t>
        </is>
      </c>
      <c r="G75" s="12" t="inlineStr">
        <is>
          <t>네이버</t>
        </is>
      </c>
      <c r="H75" s="13" t="n">
        <v>45047</v>
      </c>
      <c r="I75" s="12" t="inlineStr">
        <is>
          <t>MO</t>
        </is>
      </c>
      <c r="J75" s="12" t="inlineStr">
        <is>
          <t>00.브랜드검색PCMO</t>
        </is>
      </c>
      <c r="K75" s="12" t="inlineStr">
        <is>
          <t>01.MO브랜드검색</t>
        </is>
      </c>
      <c r="L75" s="12" t="n"/>
      <c r="M75" s="111" t="n">
        <v>0</v>
      </c>
      <c r="N75" s="111" t="n">
        <v>0</v>
      </c>
      <c r="O75" s="111" t="n">
        <v>51910.11235955056</v>
      </c>
      <c r="P75" s="111" t="n">
        <v>0</v>
      </c>
      <c r="Q75" s="111" t="n">
        <v>0</v>
      </c>
      <c r="R75" s="111" t="n">
        <v>0</v>
      </c>
      <c r="S75" s="111" t="n">
        <v>0</v>
      </c>
      <c r="T75" s="15" t="inlineStr">
        <is>
          <t>BSA</t>
        </is>
      </c>
      <c r="U75" s="15" t="inlineStr">
        <is>
          <t>BSA</t>
        </is>
      </c>
    </row>
    <row r="76">
      <c r="C76" s="12" t="inlineStr">
        <is>
          <t>BSA</t>
        </is>
      </c>
      <c r="D76" s="12" t="inlineStr">
        <is>
          <t>BSA</t>
        </is>
      </c>
      <c r="E76" s="12" t="inlineStr">
        <is>
          <t>당월</t>
        </is>
      </c>
      <c r="F76" s="12" t="inlineStr">
        <is>
          <t>5월 1주차</t>
        </is>
      </c>
      <c r="G76" s="12" t="inlineStr">
        <is>
          <t>네이버</t>
        </is>
      </c>
      <c r="H76" s="13" t="n">
        <v>45048</v>
      </c>
      <c r="I76" s="12" t="inlineStr">
        <is>
          <t>PC</t>
        </is>
      </c>
      <c r="J76" s="12" t="inlineStr">
        <is>
          <t>00.브랜드검색PCMO</t>
        </is>
      </c>
      <c r="K76" s="12" t="inlineStr">
        <is>
          <t>01.PC브랜드검색</t>
        </is>
      </c>
      <c r="L76" s="12" t="n"/>
      <c r="M76" s="111" t="n">
        <v>0</v>
      </c>
      <c r="N76" s="111" t="n">
        <v>0</v>
      </c>
      <c r="O76" s="111" t="n">
        <v>37078.65168539326</v>
      </c>
      <c r="P76" s="111" t="n">
        <v>0</v>
      </c>
      <c r="Q76" s="111" t="n">
        <v>0</v>
      </c>
      <c r="R76" s="111" t="n">
        <v>0</v>
      </c>
      <c r="S76" s="111" t="n">
        <v>0</v>
      </c>
      <c r="T76" s="15" t="inlineStr">
        <is>
          <t>BSA</t>
        </is>
      </c>
      <c r="U76" s="15" t="inlineStr">
        <is>
          <t>BSA</t>
        </is>
      </c>
    </row>
    <row r="77">
      <c r="C77" s="12" t="inlineStr">
        <is>
          <t>BSA</t>
        </is>
      </c>
      <c r="D77" s="12" t="inlineStr">
        <is>
          <t>BSA</t>
        </is>
      </c>
      <c r="E77" s="12" t="inlineStr">
        <is>
          <t>당월</t>
        </is>
      </c>
      <c r="F77" s="12" t="inlineStr">
        <is>
          <t>5월 1주차</t>
        </is>
      </c>
      <c r="G77" s="12" t="inlineStr">
        <is>
          <t>네이버</t>
        </is>
      </c>
      <c r="H77" s="13" t="n">
        <v>45048</v>
      </c>
      <c r="I77" s="12" t="inlineStr">
        <is>
          <t>MO</t>
        </is>
      </c>
      <c r="J77" s="12" t="inlineStr">
        <is>
          <t>00.브랜드검색PCMO</t>
        </is>
      </c>
      <c r="K77" s="12" t="inlineStr">
        <is>
          <t>01.MO브랜드검색</t>
        </is>
      </c>
      <c r="L77" s="12" t="n"/>
      <c r="M77" s="111" t="n">
        <v>0</v>
      </c>
      <c r="N77" s="111" t="n">
        <v>0</v>
      </c>
      <c r="O77" s="111" t="n">
        <v>51910.11235955056</v>
      </c>
      <c r="P77" s="111" t="n">
        <v>0</v>
      </c>
      <c r="Q77" s="111" t="n">
        <v>0</v>
      </c>
      <c r="R77" s="111" t="n">
        <v>0</v>
      </c>
      <c r="S77" s="111" t="n">
        <v>0</v>
      </c>
      <c r="T77" s="15" t="inlineStr">
        <is>
          <t>BSA</t>
        </is>
      </c>
      <c r="U77" s="15" t="inlineStr">
        <is>
          <t>BSA</t>
        </is>
      </c>
    </row>
    <row r="78">
      <c r="C78" s="12" t="inlineStr">
        <is>
          <t>BSA</t>
        </is>
      </c>
      <c r="D78" s="12" t="inlineStr">
        <is>
          <t>BSA</t>
        </is>
      </c>
      <c r="E78" s="12" t="inlineStr">
        <is>
          <t>당월</t>
        </is>
      </c>
      <c r="F78" s="12" t="inlineStr">
        <is>
          <t>5월 1주차</t>
        </is>
      </c>
      <c r="G78" s="12" t="inlineStr">
        <is>
          <t>네이버</t>
        </is>
      </c>
      <c r="H78" s="13" t="n">
        <v>45049</v>
      </c>
      <c r="I78" s="12" t="inlineStr">
        <is>
          <t>PC</t>
        </is>
      </c>
      <c r="J78" s="12" t="inlineStr">
        <is>
          <t>00.브랜드검색PCMO</t>
        </is>
      </c>
      <c r="K78" s="12" t="inlineStr">
        <is>
          <t>01.PC브랜드검색</t>
        </is>
      </c>
      <c r="L78" s="12" t="n"/>
      <c r="M78" s="111" t="n">
        <v>0</v>
      </c>
      <c r="N78" s="111" t="n">
        <v>0</v>
      </c>
      <c r="O78" s="111" t="n">
        <v>37078.65168539326</v>
      </c>
      <c r="P78" s="111" t="n">
        <v>0</v>
      </c>
      <c r="Q78" s="111" t="n">
        <v>0</v>
      </c>
      <c r="R78" s="111" t="n">
        <v>0</v>
      </c>
      <c r="S78" s="111" t="n">
        <v>0</v>
      </c>
      <c r="T78" s="15" t="inlineStr">
        <is>
          <t>BSA</t>
        </is>
      </c>
      <c r="U78" s="15" t="inlineStr">
        <is>
          <t>BSA</t>
        </is>
      </c>
    </row>
    <row r="79">
      <c r="C79" s="12" t="inlineStr">
        <is>
          <t>BSA</t>
        </is>
      </c>
      <c r="D79" s="12" t="inlineStr">
        <is>
          <t>BSA</t>
        </is>
      </c>
      <c r="E79" s="12" t="inlineStr">
        <is>
          <t>당월</t>
        </is>
      </c>
      <c r="F79" s="12" t="inlineStr">
        <is>
          <t>5월 1주차</t>
        </is>
      </c>
      <c r="G79" s="12" t="inlineStr">
        <is>
          <t>네이버</t>
        </is>
      </c>
      <c r="H79" s="13" t="n">
        <v>45049</v>
      </c>
      <c r="I79" s="12" t="inlineStr">
        <is>
          <t>MO</t>
        </is>
      </c>
      <c r="J79" s="12" t="inlineStr">
        <is>
          <t>00.브랜드검색PCMO</t>
        </is>
      </c>
      <c r="K79" s="12" t="inlineStr">
        <is>
          <t>01.MO브랜드검색</t>
        </is>
      </c>
      <c r="L79" s="12" t="n"/>
      <c r="M79" s="111" t="n">
        <v>0</v>
      </c>
      <c r="N79" s="111" t="n">
        <v>0</v>
      </c>
      <c r="O79" s="111" t="n">
        <v>51910.11235955056</v>
      </c>
      <c r="P79" s="111" t="n">
        <v>0</v>
      </c>
      <c r="Q79" s="111" t="n">
        <v>0</v>
      </c>
      <c r="R79" s="111" t="n">
        <v>0</v>
      </c>
      <c r="S79" s="111" t="n">
        <v>0</v>
      </c>
      <c r="T79" s="15" t="inlineStr">
        <is>
          <t>BSA</t>
        </is>
      </c>
      <c r="U79" s="15" t="inlineStr">
        <is>
          <t>BSA</t>
        </is>
      </c>
    </row>
    <row r="80">
      <c r="C80" s="12" t="inlineStr">
        <is>
          <t>BSA</t>
        </is>
      </c>
      <c r="D80" s="12" t="inlineStr">
        <is>
          <t>BSA</t>
        </is>
      </c>
      <c r="E80" s="12" t="inlineStr">
        <is>
          <t>당월</t>
        </is>
      </c>
      <c r="F80" s="12" t="inlineStr">
        <is>
          <t>5월 1주차</t>
        </is>
      </c>
      <c r="G80" s="12" t="inlineStr">
        <is>
          <t>네이버</t>
        </is>
      </c>
      <c r="H80" s="13" t="n">
        <v>45050</v>
      </c>
      <c r="I80" s="12" t="inlineStr">
        <is>
          <t>PC</t>
        </is>
      </c>
      <c r="J80" s="12" t="inlineStr">
        <is>
          <t>00.브랜드검색PCMO</t>
        </is>
      </c>
      <c r="K80" s="12" t="inlineStr">
        <is>
          <t>01.PC브랜드검색</t>
        </is>
      </c>
      <c r="L80" s="12" t="n"/>
      <c r="M80" s="111" t="n">
        <v>0</v>
      </c>
      <c r="N80" s="111" t="n">
        <v>0</v>
      </c>
      <c r="O80" s="111" t="n">
        <v>37078.65168539326</v>
      </c>
      <c r="P80" s="111" t="n">
        <v>0</v>
      </c>
      <c r="Q80" s="111" t="n">
        <v>0</v>
      </c>
      <c r="R80" s="111" t="n">
        <v>0</v>
      </c>
      <c r="S80" s="111" t="n">
        <v>0</v>
      </c>
      <c r="T80" s="15" t="inlineStr">
        <is>
          <t>BSA</t>
        </is>
      </c>
      <c r="U80" s="15" t="inlineStr">
        <is>
          <t>BSA</t>
        </is>
      </c>
    </row>
    <row r="81">
      <c r="C81" s="12" t="inlineStr">
        <is>
          <t>BSA</t>
        </is>
      </c>
      <c r="D81" s="12" t="inlineStr">
        <is>
          <t>BSA</t>
        </is>
      </c>
      <c r="E81" s="12" t="inlineStr">
        <is>
          <t>당월</t>
        </is>
      </c>
      <c r="F81" s="12" t="inlineStr">
        <is>
          <t>5월 1주차</t>
        </is>
      </c>
      <c r="G81" s="12" t="inlineStr">
        <is>
          <t>네이버</t>
        </is>
      </c>
      <c r="H81" s="13" t="n">
        <v>45050</v>
      </c>
      <c r="I81" s="12" t="inlineStr">
        <is>
          <t>MO</t>
        </is>
      </c>
      <c r="J81" s="12" t="inlineStr">
        <is>
          <t>00.브랜드검색PCMO</t>
        </is>
      </c>
      <c r="K81" s="12" t="inlineStr">
        <is>
          <t>01.MO브랜드검색</t>
        </is>
      </c>
      <c r="L81" s="12" t="n"/>
      <c r="M81" s="111" t="n">
        <v>0</v>
      </c>
      <c r="N81" s="111" t="n">
        <v>0</v>
      </c>
      <c r="O81" s="111" t="n">
        <v>51910.11235955056</v>
      </c>
      <c r="P81" s="111" t="n">
        <v>0</v>
      </c>
      <c r="Q81" s="111" t="n">
        <v>0</v>
      </c>
      <c r="R81" s="111" t="n">
        <v>0</v>
      </c>
      <c r="S81" s="111" t="n">
        <v>0</v>
      </c>
      <c r="T81" s="15" t="inlineStr">
        <is>
          <t>BSA</t>
        </is>
      </c>
      <c r="U81" s="15" t="inlineStr">
        <is>
          <t>BSA</t>
        </is>
      </c>
    </row>
    <row r="82">
      <c r="C82" s="12" t="inlineStr">
        <is>
          <t>BSA</t>
        </is>
      </c>
      <c r="D82" s="12" t="inlineStr">
        <is>
          <t>BSA</t>
        </is>
      </c>
      <c r="E82" s="12" t="inlineStr">
        <is>
          <t>당월</t>
        </is>
      </c>
      <c r="F82" s="12" t="inlineStr">
        <is>
          <t>5월 1주차</t>
        </is>
      </c>
      <c r="G82" s="12" t="inlineStr">
        <is>
          <t>네이버</t>
        </is>
      </c>
      <c r="H82" s="13" t="n">
        <v>45051</v>
      </c>
      <c r="I82" s="12" t="inlineStr">
        <is>
          <t>PC</t>
        </is>
      </c>
      <c r="J82" s="12" t="inlineStr">
        <is>
          <t>00.브랜드검색PCMO</t>
        </is>
      </c>
      <c r="K82" s="12" t="inlineStr">
        <is>
          <t>01.PC브랜드검색</t>
        </is>
      </c>
      <c r="L82" s="12" t="n"/>
      <c r="M82" s="111" t="n">
        <v>0</v>
      </c>
      <c r="N82" s="111" t="n">
        <v>0</v>
      </c>
      <c r="O82" s="111" t="n">
        <v>37078.65168539326</v>
      </c>
      <c r="P82" s="111" t="n">
        <v>0</v>
      </c>
      <c r="Q82" s="111" t="n">
        <v>0</v>
      </c>
      <c r="R82" s="111" t="n">
        <v>0</v>
      </c>
      <c r="S82" s="111" t="n">
        <v>0</v>
      </c>
      <c r="T82" s="15" t="inlineStr">
        <is>
          <t>BSA</t>
        </is>
      </c>
      <c r="U82" s="15" t="inlineStr">
        <is>
          <t>BSA</t>
        </is>
      </c>
    </row>
    <row r="83">
      <c r="C83" s="12" t="inlineStr">
        <is>
          <t>BSA</t>
        </is>
      </c>
      <c r="D83" s="12" t="inlineStr">
        <is>
          <t>BSA</t>
        </is>
      </c>
      <c r="E83" s="12" t="inlineStr">
        <is>
          <t>당월</t>
        </is>
      </c>
      <c r="F83" s="12" t="inlineStr">
        <is>
          <t>5월 1주차</t>
        </is>
      </c>
      <c r="G83" s="12" t="inlineStr">
        <is>
          <t>네이버</t>
        </is>
      </c>
      <c r="H83" s="13" t="n">
        <v>45051</v>
      </c>
      <c r="I83" s="12" t="inlineStr">
        <is>
          <t>MO</t>
        </is>
      </c>
      <c r="J83" s="12" t="inlineStr">
        <is>
          <t>00.브랜드검색PCMO</t>
        </is>
      </c>
      <c r="K83" s="12" t="inlineStr">
        <is>
          <t>01.MO브랜드검색</t>
        </is>
      </c>
      <c r="L83" s="12" t="n"/>
      <c r="M83" s="111" t="n">
        <v>0</v>
      </c>
      <c r="N83" s="111" t="n">
        <v>0</v>
      </c>
      <c r="O83" s="111" t="n">
        <v>51910.11235955056</v>
      </c>
      <c r="P83" s="111" t="n">
        <v>0</v>
      </c>
      <c r="Q83" s="111" t="n">
        <v>0</v>
      </c>
      <c r="R83" s="111" t="n">
        <v>0</v>
      </c>
      <c r="S83" s="111" t="n">
        <v>0</v>
      </c>
      <c r="T83" s="15" t="inlineStr">
        <is>
          <t>BSA</t>
        </is>
      </c>
      <c r="U83" s="15" t="inlineStr">
        <is>
          <t>BSA</t>
        </is>
      </c>
    </row>
    <row r="84">
      <c r="C84" s="12" t="inlineStr">
        <is>
          <t>BSA</t>
        </is>
      </c>
      <c r="D84" s="12" t="inlineStr">
        <is>
          <t>BSA</t>
        </is>
      </c>
      <c r="E84" s="12" t="inlineStr">
        <is>
          <t>당월</t>
        </is>
      </c>
      <c r="F84" s="12" t="inlineStr">
        <is>
          <t>5월 1주차</t>
        </is>
      </c>
      <c r="G84" s="12" t="inlineStr">
        <is>
          <t>네이버</t>
        </is>
      </c>
      <c r="H84" s="13" t="n">
        <v>45052</v>
      </c>
      <c r="I84" s="12" t="inlineStr">
        <is>
          <t>PC</t>
        </is>
      </c>
      <c r="J84" s="12" t="inlineStr">
        <is>
          <t>00.브랜드검색PCMO</t>
        </is>
      </c>
      <c r="K84" s="12" t="inlineStr">
        <is>
          <t>01.PC브랜드검색</t>
        </is>
      </c>
      <c r="L84" s="12" t="n"/>
      <c r="M84" s="111" t="n">
        <v>0</v>
      </c>
      <c r="N84" s="111" t="n">
        <v>0</v>
      </c>
      <c r="O84" s="111" t="n">
        <v>37078.65168539326</v>
      </c>
      <c r="P84" s="111" t="n">
        <v>0</v>
      </c>
      <c r="Q84" s="111" t="n">
        <v>0</v>
      </c>
      <c r="R84" s="111" t="n">
        <v>0</v>
      </c>
      <c r="S84" s="111" t="n">
        <v>0</v>
      </c>
      <c r="T84" s="15" t="inlineStr">
        <is>
          <t>BSA</t>
        </is>
      </c>
      <c r="U84" s="15" t="inlineStr">
        <is>
          <t>BSA</t>
        </is>
      </c>
    </row>
    <row r="85">
      <c r="C85" s="12" t="inlineStr">
        <is>
          <t>BSA</t>
        </is>
      </c>
      <c r="D85" s="12" t="inlineStr">
        <is>
          <t>BSA</t>
        </is>
      </c>
      <c r="E85" s="12" t="inlineStr">
        <is>
          <t>당월</t>
        </is>
      </c>
      <c r="F85" s="12" t="inlineStr">
        <is>
          <t>5월 1주차</t>
        </is>
      </c>
      <c r="G85" s="12" t="inlineStr">
        <is>
          <t>네이버</t>
        </is>
      </c>
      <c r="H85" s="13" t="n">
        <v>45052</v>
      </c>
      <c r="I85" s="12" t="inlineStr">
        <is>
          <t>MO</t>
        </is>
      </c>
      <c r="J85" s="12" t="inlineStr">
        <is>
          <t>00.브랜드검색PCMO</t>
        </is>
      </c>
      <c r="K85" s="12" t="inlineStr">
        <is>
          <t>01.MO브랜드검색</t>
        </is>
      </c>
      <c r="L85" s="12" t="n"/>
      <c r="M85" s="111" t="n">
        <v>0</v>
      </c>
      <c r="N85" s="111" t="n">
        <v>0</v>
      </c>
      <c r="O85" s="111" t="n">
        <v>51910.11235955056</v>
      </c>
      <c r="P85" s="111" t="n">
        <v>0</v>
      </c>
      <c r="Q85" s="111" t="n">
        <v>0</v>
      </c>
      <c r="R85" s="111" t="n">
        <v>0</v>
      </c>
      <c r="S85" s="111" t="n">
        <v>0</v>
      </c>
      <c r="T85" s="15" t="inlineStr">
        <is>
          <t>BSA</t>
        </is>
      </c>
      <c r="U85" s="15" t="inlineStr">
        <is>
          <t>BSA</t>
        </is>
      </c>
    </row>
    <row r="86">
      <c r="C86" s="12" t="inlineStr">
        <is>
          <t>BSA</t>
        </is>
      </c>
      <c r="D86" s="12" t="inlineStr">
        <is>
          <t>BSA</t>
        </is>
      </c>
      <c r="E86" s="12" t="inlineStr">
        <is>
          <t>당월</t>
        </is>
      </c>
      <c r="F86" s="12" t="inlineStr">
        <is>
          <t>5월 1주차</t>
        </is>
      </c>
      <c r="G86" s="12" t="inlineStr">
        <is>
          <t>네이버</t>
        </is>
      </c>
      <c r="H86" s="13" t="n">
        <v>45053</v>
      </c>
      <c r="I86" s="12" t="inlineStr">
        <is>
          <t>PC</t>
        </is>
      </c>
      <c r="J86" s="12" t="inlineStr">
        <is>
          <t>00.브랜드검색PCMO</t>
        </is>
      </c>
      <c r="K86" s="12" t="inlineStr">
        <is>
          <t>01.PC브랜드검색</t>
        </is>
      </c>
      <c r="L86" s="12" t="n"/>
      <c r="M86" s="111" t="n">
        <v>0</v>
      </c>
      <c r="N86" s="111" t="n">
        <v>0</v>
      </c>
      <c r="O86" s="111" t="n">
        <v>37078.65168539326</v>
      </c>
      <c r="P86" s="111" t="n">
        <v>0</v>
      </c>
      <c r="Q86" s="111" t="n">
        <v>0</v>
      </c>
      <c r="R86" s="111" t="n">
        <v>0</v>
      </c>
      <c r="S86" s="111" t="n">
        <v>0</v>
      </c>
      <c r="T86" s="15" t="inlineStr">
        <is>
          <t>BSA</t>
        </is>
      </c>
      <c r="U86" s="15" t="inlineStr">
        <is>
          <t>BSA</t>
        </is>
      </c>
    </row>
    <row r="87">
      <c r="C87" s="12" t="inlineStr">
        <is>
          <t>BSA</t>
        </is>
      </c>
      <c r="D87" s="12" t="inlineStr">
        <is>
          <t>BSA</t>
        </is>
      </c>
      <c r="E87" s="12" t="inlineStr">
        <is>
          <t>당월</t>
        </is>
      </c>
      <c r="F87" s="12" t="inlineStr">
        <is>
          <t>5월 1주차</t>
        </is>
      </c>
      <c r="G87" s="12" t="inlineStr">
        <is>
          <t>네이버</t>
        </is>
      </c>
      <c r="H87" s="13" t="n">
        <v>45053</v>
      </c>
      <c r="I87" s="12" t="inlineStr">
        <is>
          <t>MO</t>
        </is>
      </c>
      <c r="J87" s="12" t="inlineStr">
        <is>
          <t>00.브랜드검색PCMO</t>
        </is>
      </c>
      <c r="K87" s="12" t="inlineStr">
        <is>
          <t>01.MO브랜드검색</t>
        </is>
      </c>
      <c r="L87" s="12" t="n"/>
      <c r="M87" s="111" t="n">
        <v>0</v>
      </c>
      <c r="N87" s="111" t="n">
        <v>0</v>
      </c>
      <c r="O87" s="111" t="n">
        <v>51910.11235955056</v>
      </c>
      <c r="P87" s="111" t="n">
        <v>0</v>
      </c>
      <c r="Q87" s="111" t="n">
        <v>0</v>
      </c>
      <c r="R87" s="111" t="n">
        <v>0</v>
      </c>
      <c r="S87" s="111" t="n">
        <v>0</v>
      </c>
      <c r="T87" s="15" t="inlineStr">
        <is>
          <t>BSA</t>
        </is>
      </c>
      <c r="U87" s="15" t="inlineStr">
        <is>
          <t>BSA</t>
        </is>
      </c>
    </row>
    <row r="91">
      <c r="C91" s="12" t="inlineStr">
        <is>
          <t>BSA</t>
        </is>
      </c>
      <c r="D91" s="12" t="inlineStr">
        <is>
          <t>BSA</t>
        </is>
      </c>
      <c r="E91" s="12" t="inlineStr">
        <is>
          <t>당월</t>
        </is>
      </c>
      <c r="F91" s="12" t="inlineStr">
        <is>
          <t>5월 2주차</t>
        </is>
      </c>
      <c r="G91" s="12" t="inlineStr">
        <is>
          <t>네이버</t>
        </is>
      </c>
      <c r="H91" s="13" t="n">
        <v>45054</v>
      </c>
      <c r="I91" s="12" t="inlineStr">
        <is>
          <t>PC</t>
        </is>
      </c>
      <c r="J91" s="12" t="inlineStr">
        <is>
          <t>00.브랜드검색PCMO</t>
        </is>
      </c>
      <c r="K91" s="12" t="inlineStr">
        <is>
          <t>01.PC브랜드검색</t>
        </is>
      </c>
      <c r="L91" s="12" t="n"/>
      <c r="M91" s="12" t="n">
        <v>0</v>
      </c>
      <c r="N91" s="12" t="n">
        <v>0</v>
      </c>
      <c r="O91" s="12" t="n">
        <v>37078.65168539326</v>
      </c>
      <c r="P91" s="12" t="n">
        <v>0</v>
      </c>
      <c r="Q91" s="12" t="n">
        <v>0</v>
      </c>
      <c r="R91" s="12" t="n">
        <v>0</v>
      </c>
      <c r="S91" s="12" t="n">
        <v>0</v>
      </c>
      <c r="T91" s="12" t="inlineStr">
        <is>
          <t>BSA</t>
        </is>
      </c>
      <c r="U91" s="12" t="inlineStr">
        <is>
          <t>BSA</t>
        </is>
      </c>
    </row>
    <row r="92">
      <c r="C92" s="12" t="inlineStr">
        <is>
          <t>BSA</t>
        </is>
      </c>
      <c r="D92" s="12" t="inlineStr">
        <is>
          <t>BSA</t>
        </is>
      </c>
      <c r="E92" s="12" t="inlineStr">
        <is>
          <t>당월</t>
        </is>
      </c>
      <c r="F92" s="12" t="inlineStr">
        <is>
          <t>5월 2주차</t>
        </is>
      </c>
      <c r="G92" s="12" t="inlineStr">
        <is>
          <t>네이버</t>
        </is>
      </c>
      <c r="H92" s="13" t="n">
        <v>45054</v>
      </c>
      <c r="I92" s="12" t="inlineStr">
        <is>
          <t>MO</t>
        </is>
      </c>
      <c r="J92" s="12" t="inlineStr">
        <is>
          <t>00.브랜드검색PCMO</t>
        </is>
      </c>
      <c r="K92" s="12" t="inlineStr">
        <is>
          <t>01.MO브랜드검색</t>
        </is>
      </c>
      <c r="L92" s="12" t="n"/>
      <c r="M92" s="12" t="n">
        <v>0</v>
      </c>
      <c r="N92" s="12" t="n">
        <v>0</v>
      </c>
      <c r="O92" s="12" t="n">
        <v>51910.11235955056</v>
      </c>
      <c r="P92" s="12" t="n">
        <v>0</v>
      </c>
      <c r="Q92" s="12" t="n">
        <v>0</v>
      </c>
      <c r="R92" s="12" t="n">
        <v>0</v>
      </c>
      <c r="S92" s="12" t="n">
        <v>0</v>
      </c>
      <c r="T92" s="12" t="inlineStr">
        <is>
          <t>BSA</t>
        </is>
      </c>
      <c r="U92" s="12" t="inlineStr">
        <is>
          <t>BSA</t>
        </is>
      </c>
    </row>
    <row r="93">
      <c r="C93" s="12" t="inlineStr">
        <is>
          <t>BSA</t>
        </is>
      </c>
      <c r="D93" s="12" t="inlineStr">
        <is>
          <t>BSA</t>
        </is>
      </c>
      <c r="E93" s="12" t="inlineStr">
        <is>
          <t>당월</t>
        </is>
      </c>
      <c r="F93" s="12" t="inlineStr">
        <is>
          <t>5월 2주차</t>
        </is>
      </c>
      <c r="G93" s="12" t="inlineStr">
        <is>
          <t>네이버</t>
        </is>
      </c>
      <c r="H93" s="13" t="n">
        <v>45055</v>
      </c>
      <c r="I93" s="12" t="inlineStr">
        <is>
          <t>PC</t>
        </is>
      </c>
      <c r="J93" s="12" t="inlineStr">
        <is>
          <t>00.브랜드검색PCMO</t>
        </is>
      </c>
      <c r="K93" s="12" t="inlineStr">
        <is>
          <t>01.PC브랜드검색</t>
        </is>
      </c>
      <c r="L93" s="12" t="n"/>
      <c r="M93" s="12" t="n">
        <v>0</v>
      </c>
      <c r="N93" s="12" t="n">
        <v>0</v>
      </c>
      <c r="O93" s="12" t="n">
        <v>37078.65168539326</v>
      </c>
      <c r="P93" s="12" t="n">
        <v>0</v>
      </c>
      <c r="Q93" s="12" t="n">
        <v>0</v>
      </c>
      <c r="R93" s="12" t="n">
        <v>0</v>
      </c>
      <c r="S93" s="12" t="n">
        <v>0</v>
      </c>
      <c r="T93" s="12" t="inlineStr">
        <is>
          <t>BSA</t>
        </is>
      </c>
      <c r="U93" s="12" t="inlineStr">
        <is>
          <t>BSA</t>
        </is>
      </c>
    </row>
    <row r="94">
      <c r="C94" s="12" t="inlineStr">
        <is>
          <t>BSA</t>
        </is>
      </c>
      <c r="D94" s="12" t="inlineStr">
        <is>
          <t>BSA</t>
        </is>
      </c>
      <c r="E94" s="12" t="inlineStr">
        <is>
          <t>당월</t>
        </is>
      </c>
      <c r="F94" s="12" t="inlineStr">
        <is>
          <t>5월 2주차</t>
        </is>
      </c>
      <c r="G94" s="12" t="inlineStr">
        <is>
          <t>네이버</t>
        </is>
      </c>
      <c r="H94" s="13" t="n">
        <v>45055</v>
      </c>
      <c r="I94" s="12" t="inlineStr">
        <is>
          <t>MO</t>
        </is>
      </c>
      <c r="J94" s="12" t="inlineStr">
        <is>
          <t>00.브랜드검색PCMO</t>
        </is>
      </c>
      <c r="K94" s="12" t="inlineStr">
        <is>
          <t>01.MO브랜드검색</t>
        </is>
      </c>
      <c r="L94" s="12" t="n"/>
      <c r="M94" s="12" t="n">
        <v>0</v>
      </c>
      <c r="N94" s="12" t="n">
        <v>0</v>
      </c>
      <c r="O94" s="12" t="n">
        <v>51910.11235955056</v>
      </c>
      <c r="P94" s="12" t="n">
        <v>0</v>
      </c>
      <c r="Q94" s="12" t="n">
        <v>0</v>
      </c>
      <c r="R94" s="12" t="n">
        <v>0</v>
      </c>
      <c r="S94" s="12" t="n">
        <v>0</v>
      </c>
      <c r="T94" s="12" t="inlineStr">
        <is>
          <t>BSA</t>
        </is>
      </c>
      <c r="U94" s="12" t="inlineStr">
        <is>
          <t>BSA</t>
        </is>
      </c>
    </row>
    <row r="95">
      <c r="C95" s="12" t="inlineStr">
        <is>
          <t>BSA</t>
        </is>
      </c>
      <c r="D95" s="12" t="inlineStr">
        <is>
          <t>BSA</t>
        </is>
      </c>
      <c r="E95" s="12" t="inlineStr">
        <is>
          <t>당월</t>
        </is>
      </c>
      <c r="F95" s="12" t="inlineStr">
        <is>
          <t>5월 2주차</t>
        </is>
      </c>
      <c r="G95" s="12" t="inlineStr">
        <is>
          <t>네이버</t>
        </is>
      </c>
      <c r="H95" s="13" t="n">
        <v>45056</v>
      </c>
      <c r="I95" s="12" t="inlineStr">
        <is>
          <t>PC</t>
        </is>
      </c>
      <c r="J95" s="12" t="inlineStr">
        <is>
          <t>00.브랜드검색PCMO</t>
        </is>
      </c>
      <c r="K95" s="12" t="inlineStr">
        <is>
          <t>01.PC브랜드검색</t>
        </is>
      </c>
      <c r="L95" s="12" t="n"/>
      <c r="M95" s="12" t="n">
        <v>0</v>
      </c>
      <c r="N95" s="12" t="n">
        <v>0</v>
      </c>
      <c r="O95" s="12" t="n">
        <v>37078.65168539326</v>
      </c>
      <c r="P95" s="12" t="n">
        <v>0</v>
      </c>
      <c r="Q95" s="12" t="n">
        <v>0</v>
      </c>
      <c r="R95" s="12" t="n">
        <v>0</v>
      </c>
      <c r="S95" s="12" t="n">
        <v>0</v>
      </c>
      <c r="T95" s="12" t="inlineStr">
        <is>
          <t>BSA</t>
        </is>
      </c>
      <c r="U95" s="12" t="inlineStr">
        <is>
          <t>BSA</t>
        </is>
      </c>
    </row>
    <row r="96">
      <c r="C96" s="12" t="inlineStr">
        <is>
          <t>BSA</t>
        </is>
      </c>
      <c r="D96" s="12" t="inlineStr">
        <is>
          <t>BSA</t>
        </is>
      </c>
      <c r="E96" s="12" t="inlineStr">
        <is>
          <t>당월</t>
        </is>
      </c>
      <c r="F96" s="12" t="inlineStr">
        <is>
          <t>5월 2주차</t>
        </is>
      </c>
      <c r="G96" s="12" t="inlineStr">
        <is>
          <t>네이버</t>
        </is>
      </c>
      <c r="H96" s="13" t="n">
        <v>45056</v>
      </c>
      <c r="I96" s="12" t="inlineStr">
        <is>
          <t>MO</t>
        </is>
      </c>
      <c r="J96" s="12" t="inlineStr">
        <is>
          <t>00.브랜드검색PCMO</t>
        </is>
      </c>
      <c r="K96" s="12" t="inlineStr">
        <is>
          <t>01.MO브랜드검색</t>
        </is>
      </c>
      <c r="L96" s="12" t="n"/>
      <c r="M96" s="12" t="n">
        <v>0</v>
      </c>
      <c r="N96" s="12" t="n">
        <v>0</v>
      </c>
      <c r="O96" s="12" t="n">
        <v>51910.11235955056</v>
      </c>
      <c r="P96" s="12" t="n">
        <v>0</v>
      </c>
      <c r="Q96" s="12" t="n">
        <v>0</v>
      </c>
      <c r="R96" s="12" t="n">
        <v>0</v>
      </c>
      <c r="S96" s="12" t="n">
        <v>0</v>
      </c>
      <c r="T96" s="12" t="inlineStr">
        <is>
          <t>BSA</t>
        </is>
      </c>
      <c r="U96" s="12" t="inlineStr">
        <is>
          <t>BSA</t>
        </is>
      </c>
    </row>
    <row r="97">
      <c r="C97" s="12" t="inlineStr">
        <is>
          <t>BSA</t>
        </is>
      </c>
      <c r="D97" s="12" t="inlineStr">
        <is>
          <t>BSA</t>
        </is>
      </c>
      <c r="E97" s="12" t="inlineStr">
        <is>
          <t>당월</t>
        </is>
      </c>
      <c r="F97" s="12" t="inlineStr">
        <is>
          <t>5월 2주차</t>
        </is>
      </c>
      <c r="G97" s="12" t="inlineStr">
        <is>
          <t>네이버</t>
        </is>
      </c>
      <c r="H97" s="13" t="n">
        <v>45057</v>
      </c>
      <c r="I97" s="12" t="inlineStr">
        <is>
          <t>PC</t>
        </is>
      </c>
      <c r="J97" s="12" t="inlineStr">
        <is>
          <t>00.브랜드검색PCMO</t>
        </is>
      </c>
      <c r="K97" s="12" t="inlineStr">
        <is>
          <t>01.PC브랜드검색</t>
        </is>
      </c>
      <c r="L97" s="12" t="n"/>
      <c r="M97" s="12" t="n">
        <v>0</v>
      </c>
      <c r="N97" s="12" t="n">
        <v>0</v>
      </c>
      <c r="O97" s="12" t="n">
        <v>37078.65168539326</v>
      </c>
      <c r="P97" s="12" t="n">
        <v>0</v>
      </c>
      <c r="Q97" s="12" t="n">
        <v>0</v>
      </c>
      <c r="R97" s="12" t="n">
        <v>0</v>
      </c>
      <c r="S97" s="12" t="n">
        <v>0</v>
      </c>
      <c r="T97" s="12" t="inlineStr">
        <is>
          <t>BSA</t>
        </is>
      </c>
      <c r="U97" s="12" t="inlineStr">
        <is>
          <t>BSA</t>
        </is>
      </c>
    </row>
    <row r="98">
      <c r="C98" s="12" t="inlineStr">
        <is>
          <t>BSA</t>
        </is>
      </c>
      <c r="D98" s="12" t="inlineStr">
        <is>
          <t>BSA</t>
        </is>
      </c>
      <c r="E98" s="12" t="inlineStr">
        <is>
          <t>당월</t>
        </is>
      </c>
      <c r="F98" s="12" t="inlineStr">
        <is>
          <t>5월 2주차</t>
        </is>
      </c>
      <c r="G98" s="12" t="inlineStr">
        <is>
          <t>네이버</t>
        </is>
      </c>
      <c r="H98" s="13" t="n">
        <v>45057</v>
      </c>
      <c r="I98" s="12" t="inlineStr">
        <is>
          <t>MO</t>
        </is>
      </c>
      <c r="J98" s="12" t="inlineStr">
        <is>
          <t>00.브랜드검색PCMO</t>
        </is>
      </c>
      <c r="K98" s="12" t="inlineStr">
        <is>
          <t>01.MO브랜드검색</t>
        </is>
      </c>
      <c r="L98" s="12" t="n"/>
      <c r="M98" s="12" t="n">
        <v>0</v>
      </c>
      <c r="N98" s="12" t="n">
        <v>0</v>
      </c>
      <c r="O98" s="12" t="n">
        <v>51910.11235955056</v>
      </c>
      <c r="P98" s="12" t="n">
        <v>0</v>
      </c>
      <c r="Q98" s="12" t="n">
        <v>0</v>
      </c>
      <c r="R98" s="12" t="n">
        <v>0</v>
      </c>
      <c r="S98" s="12" t="n">
        <v>0</v>
      </c>
      <c r="T98" s="12" t="inlineStr">
        <is>
          <t>BSA</t>
        </is>
      </c>
      <c r="U98" s="12" t="inlineStr">
        <is>
          <t>BSA</t>
        </is>
      </c>
    </row>
    <row r="99">
      <c r="C99" s="12" t="inlineStr">
        <is>
          <t>BSA</t>
        </is>
      </c>
      <c r="D99" s="12" t="inlineStr">
        <is>
          <t>BSA</t>
        </is>
      </c>
      <c r="E99" s="12" t="inlineStr">
        <is>
          <t>당월</t>
        </is>
      </c>
      <c r="F99" s="12" t="inlineStr">
        <is>
          <t>5월 2주차</t>
        </is>
      </c>
      <c r="G99" s="12" t="inlineStr">
        <is>
          <t>네이버</t>
        </is>
      </c>
      <c r="H99" s="13" t="n">
        <v>45058</v>
      </c>
      <c r="I99" s="12" t="inlineStr">
        <is>
          <t>PC</t>
        </is>
      </c>
      <c r="J99" s="12" t="inlineStr">
        <is>
          <t>00.브랜드검색PCMO</t>
        </is>
      </c>
      <c r="K99" s="12" t="inlineStr">
        <is>
          <t>01.PC브랜드검색</t>
        </is>
      </c>
      <c r="L99" s="12" t="n"/>
      <c r="M99" s="12" t="n">
        <v>0</v>
      </c>
      <c r="N99" s="12" t="n">
        <v>0</v>
      </c>
      <c r="O99" s="12" t="n">
        <v>37078.65168539326</v>
      </c>
      <c r="P99" s="12" t="n">
        <v>0</v>
      </c>
      <c r="Q99" s="12" t="n">
        <v>0</v>
      </c>
      <c r="R99" s="12" t="n">
        <v>0</v>
      </c>
      <c r="S99" s="12" t="n">
        <v>0</v>
      </c>
      <c r="T99" s="12" t="inlineStr">
        <is>
          <t>BSA</t>
        </is>
      </c>
      <c r="U99" s="12" t="inlineStr">
        <is>
          <t>BSA</t>
        </is>
      </c>
    </row>
    <row r="100">
      <c r="C100" s="12" t="inlineStr">
        <is>
          <t>BSA</t>
        </is>
      </c>
      <c r="D100" s="12" t="inlineStr">
        <is>
          <t>BSA</t>
        </is>
      </c>
      <c r="E100" s="12" t="inlineStr">
        <is>
          <t>당월</t>
        </is>
      </c>
      <c r="F100" s="12" t="inlineStr">
        <is>
          <t>5월 2주차</t>
        </is>
      </c>
      <c r="G100" s="12" t="inlineStr">
        <is>
          <t>네이버</t>
        </is>
      </c>
      <c r="H100" s="13" t="n">
        <v>45058</v>
      </c>
      <c r="I100" s="12" t="inlineStr">
        <is>
          <t>MO</t>
        </is>
      </c>
      <c r="J100" s="12" t="inlineStr">
        <is>
          <t>00.브랜드검색PCMO</t>
        </is>
      </c>
      <c r="K100" s="12" t="inlineStr">
        <is>
          <t>01.MO브랜드검색</t>
        </is>
      </c>
      <c r="L100" s="12" t="n"/>
      <c r="M100" s="12" t="n">
        <v>0</v>
      </c>
      <c r="N100" s="12" t="n">
        <v>0</v>
      </c>
      <c r="O100" s="12" t="n">
        <v>51910.11235955056</v>
      </c>
      <c r="P100" s="12" t="n">
        <v>0</v>
      </c>
      <c r="Q100" s="12" t="n">
        <v>0</v>
      </c>
      <c r="R100" s="12" t="n">
        <v>0</v>
      </c>
      <c r="S100" s="12" t="n">
        <v>0</v>
      </c>
      <c r="T100" s="12" t="inlineStr">
        <is>
          <t>BSA</t>
        </is>
      </c>
      <c r="U100" s="12" t="inlineStr">
        <is>
          <t>BSA</t>
        </is>
      </c>
    </row>
    <row r="101">
      <c r="C101" s="12" t="inlineStr">
        <is>
          <t>BSA</t>
        </is>
      </c>
      <c r="D101" s="12" t="inlineStr">
        <is>
          <t>BSA</t>
        </is>
      </c>
      <c r="E101" s="12" t="inlineStr">
        <is>
          <t>당월</t>
        </is>
      </c>
      <c r="F101" s="12" t="inlineStr">
        <is>
          <t>5월 2주차</t>
        </is>
      </c>
      <c r="G101" s="12" t="inlineStr">
        <is>
          <t>네이버</t>
        </is>
      </c>
      <c r="H101" s="13" t="n">
        <v>45059</v>
      </c>
      <c r="I101" s="12" t="inlineStr">
        <is>
          <t>PC</t>
        </is>
      </c>
      <c r="J101" s="12" t="inlineStr">
        <is>
          <t>00.브랜드검색PCMO</t>
        </is>
      </c>
      <c r="K101" s="12" t="inlineStr">
        <is>
          <t>01.PC브랜드검색</t>
        </is>
      </c>
      <c r="L101" s="12" t="n"/>
      <c r="M101" s="12" t="n">
        <v>0</v>
      </c>
      <c r="N101" s="12" t="n">
        <v>0</v>
      </c>
      <c r="O101" s="12" t="n">
        <v>37078.65168539326</v>
      </c>
      <c r="P101" s="12" t="n">
        <v>0</v>
      </c>
      <c r="Q101" s="12" t="n">
        <v>0</v>
      </c>
      <c r="R101" s="12" t="n">
        <v>0</v>
      </c>
      <c r="S101" s="12" t="n">
        <v>0</v>
      </c>
      <c r="T101" s="12" t="inlineStr">
        <is>
          <t>BSA</t>
        </is>
      </c>
      <c r="U101" s="12" t="inlineStr">
        <is>
          <t>BSA</t>
        </is>
      </c>
    </row>
    <row r="102">
      <c r="C102" s="12" t="inlineStr">
        <is>
          <t>BSA</t>
        </is>
      </c>
      <c r="D102" s="12" t="inlineStr">
        <is>
          <t>BSA</t>
        </is>
      </c>
      <c r="E102" s="12" t="inlineStr">
        <is>
          <t>당월</t>
        </is>
      </c>
      <c r="F102" s="12" t="inlineStr">
        <is>
          <t>5월 2주차</t>
        </is>
      </c>
      <c r="G102" s="12" t="inlineStr">
        <is>
          <t>네이버</t>
        </is>
      </c>
      <c r="H102" s="13" t="n">
        <v>45059</v>
      </c>
      <c r="I102" s="12" t="inlineStr">
        <is>
          <t>MO</t>
        </is>
      </c>
      <c r="J102" s="12" t="inlineStr">
        <is>
          <t>00.브랜드검색PCMO</t>
        </is>
      </c>
      <c r="K102" s="12" t="inlineStr">
        <is>
          <t>01.MO브랜드검색</t>
        </is>
      </c>
      <c r="L102" s="12" t="n"/>
      <c r="M102" s="12" t="n">
        <v>0</v>
      </c>
      <c r="N102" s="12" t="n">
        <v>0</v>
      </c>
      <c r="O102" s="12" t="n">
        <v>51910.11235955056</v>
      </c>
      <c r="P102" s="12" t="n">
        <v>0</v>
      </c>
      <c r="Q102" s="12" t="n">
        <v>0</v>
      </c>
      <c r="R102" s="12" t="n">
        <v>0</v>
      </c>
      <c r="S102" s="12" t="n">
        <v>0</v>
      </c>
      <c r="T102" s="12" t="inlineStr">
        <is>
          <t>BSA</t>
        </is>
      </c>
      <c r="U102" s="12" t="inlineStr">
        <is>
          <t>BSA</t>
        </is>
      </c>
    </row>
    <row r="103">
      <c r="C103" s="12" t="inlineStr">
        <is>
          <t>BSA</t>
        </is>
      </c>
      <c r="D103" s="12" t="inlineStr">
        <is>
          <t>BSA</t>
        </is>
      </c>
      <c r="E103" s="12" t="inlineStr">
        <is>
          <t>당월</t>
        </is>
      </c>
      <c r="F103" s="12" t="inlineStr">
        <is>
          <t>5월 2주차</t>
        </is>
      </c>
      <c r="G103" s="12" t="inlineStr">
        <is>
          <t>네이버</t>
        </is>
      </c>
      <c r="H103" s="13" t="n">
        <v>45060</v>
      </c>
      <c r="I103" s="12" t="inlineStr">
        <is>
          <t>PC</t>
        </is>
      </c>
      <c r="J103" s="12" t="inlineStr">
        <is>
          <t>00.브랜드검색PCMO</t>
        </is>
      </c>
      <c r="K103" s="12" t="inlineStr">
        <is>
          <t>01.PC브랜드검색</t>
        </is>
      </c>
      <c r="L103" s="12" t="n"/>
      <c r="M103" s="12" t="n">
        <v>0</v>
      </c>
      <c r="N103" s="12" t="n">
        <v>0</v>
      </c>
      <c r="O103" s="12" t="n">
        <v>37078.65168539326</v>
      </c>
      <c r="P103" s="12" t="n">
        <v>0</v>
      </c>
      <c r="Q103" s="12" t="n">
        <v>0</v>
      </c>
      <c r="R103" s="12" t="n">
        <v>0</v>
      </c>
      <c r="S103" s="12" t="n">
        <v>0</v>
      </c>
      <c r="T103" s="12" t="inlineStr">
        <is>
          <t>BSA</t>
        </is>
      </c>
      <c r="U103" s="12" t="inlineStr">
        <is>
          <t>BSA</t>
        </is>
      </c>
    </row>
    <row r="104">
      <c r="C104" s="12" t="inlineStr">
        <is>
          <t>BSA</t>
        </is>
      </c>
      <c r="D104" s="12" t="inlineStr">
        <is>
          <t>BSA</t>
        </is>
      </c>
      <c r="E104" s="12" t="inlineStr">
        <is>
          <t>당월</t>
        </is>
      </c>
      <c r="F104" s="12" t="inlineStr">
        <is>
          <t>5월 2주차</t>
        </is>
      </c>
      <c r="G104" s="12" t="inlineStr">
        <is>
          <t>네이버</t>
        </is>
      </c>
      <c r="H104" s="13" t="n">
        <v>45060</v>
      </c>
      <c r="I104" s="12" t="inlineStr">
        <is>
          <t>MO</t>
        </is>
      </c>
      <c r="J104" s="12" t="inlineStr">
        <is>
          <t>00.브랜드검색PCMO</t>
        </is>
      </c>
      <c r="K104" s="12" t="inlineStr">
        <is>
          <t>01.MO브랜드검색</t>
        </is>
      </c>
      <c r="L104" s="12" t="n"/>
      <c r="M104" s="12" t="n">
        <v>0</v>
      </c>
      <c r="N104" s="12" t="n">
        <v>0</v>
      </c>
      <c r="O104" s="12" t="n">
        <v>51910.11235955056</v>
      </c>
      <c r="P104" s="12" t="n">
        <v>0</v>
      </c>
      <c r="Q104" s="12" t="n">
        <v>0</v>
      </c>
      <c r="R104" s="12" t="n">
        <v>0</v>
      </c>
      <c r="S104" s="12" t="n">
        <v>0</v>
      </c>
      <c r="T104" s="12" t="inlineStr">
        <is>
          <t>BSA</t>
        </is>
      </c>
      <c r="U104" s="12" t="inlineStr">
        <is>
          <t>BSA</t>
        </is>
      </c>
    </row>
    <row r="105">
      <c r="H105" s="13" t="n"/>
    </row>
    <row r="106">
      <c r="H106" s="13" t="n"/>
    </row>
    <row r="107">
      <c r="H107" s="13" t="n"/>
    </row>
    <row r="108">
      <c r="H108" s="13" t="n"/>
    </row>
    <row r="109">
      <c r="H109" s="13" t="n"/>
      <c r="I109" s="3" t="inlineStr">
        <is>
          <t>2023.04.20</t>
        </is>
      </c>
      <c r="J109" s="3" t="n">
        <v>45036</v>
      </c>
    </row>
    <row r="110">
      <c r="H110" s="13" t="n"/>
      <c r="I110" s="3" t="inlineStr">
        <is>
          <t>2023.07.18</t>
        </is>
      </c>
      <c r="J110" s="3" t="n">
        <v>45125</v>
      </c>
    </row>
    <row r="111">
      <c r="H111" s="13" t="n"/>
      <c r="I111">
        <f>DATEDIF(I109,I110,"YD")</f>
        <v/>
      </c>
      <c r="J111">
        <f>DATEDIF(J109,J110,"YD")</f>
        <v/>
      </c>
    </row>
    <row r="112">
      <c r="H112" s="13" t="n"/>
    </row>
    <row r="113">
      <c r="H113" s="13" t="n"/>
      <c r="J113" s="9" t="n">
        <v>4620000</v>
      </c>
      <c r="K113" s="9" t="n">
        <v>3300000</v>
      </c>
    </row>
    <row r="114">
      <c r="J114">
        <f>J113/90</f>
        <v/>
      </c>
      <c r="K114">
        <f>K113/90</f>
        <v/>
      </c>
    </row>
    <row r="115">
      <c r="J115">
        <f>J113/1.1</f>
        <v/>
      </c>
      <c r="K115">
        <f>K113/1.1</f>
        <v/>
      </c>
    </row>
    <row r="116">
      <c r="J116">
        <f>J115/90</f>
        <v/>
      </c>
      <c r="K116">
        <f>K115/90</f>
        <v/>
      </c>
    </row>
    <row r="123">
      <c r="C123" s="12" t="inlineStr">
        <is>
          <t>BSA</t>
        </is>
      </c>
      <c r="D123" s="12" t="inlineStr">
        <is>
          <t>BSA</t>
        </is>
      </c>
      <c r="E123" s="12" t="inlineStr">
        <is>
          <t>당월</t>
        </is>
      </c>
      <c r="F123" s="12" t="inlineStr">
        <is>
          <t>5월 3주차</t>
        </is>
      </c>
      <c r="G123" s="12" t="inlineStr">
        <is>
          <t>네이버</t>
        </is>
      </c>
      <c r="H123" s="13" t="n">
        <v>45061</v>
      </c>
      <c r="I123" s="12" t="inlineStr">
        <is>
          <t>PC</t>
        </is>
      </c>
      <c r="J123" s="12" t="inlineStr">
        <is>
          <t>00.브랜드검색PCMO</t>
        </is>
      </c>
      <c r="K123" s="12" t="inlineStr">
        <is>
          <t>01.PC브랜드검색</t>
        </is>
      </c>
      <c r="L123" s="12" t="n"/>
      <c r="M123" s="12" t="n">
        <v>0</v>
      </c>
      <c r="N123" s="12" t="n">
        <v>0</v>
      </c>
      <c r="O123" s="12" t="n">
        <v>36666.66666666666</v>
      </c>
      <c r="P123" s="12" t="n">
        <v>0</v>
      </c>
      <c r="Q123" s="12" t="n">
        <v>0</v>
      </c>
      <c r="R123" s="12" t="n">
        <v>0</v>
      </c>
      <c r="S123" s="12" t="n">
        <v>0</v>
      </c>
      <c r="T123" s="12" t="inlineStr">
        <is>
          <t>BSA</t>
        </is>
      </c>
      <c r="U123" s="12" t="inlineStr">
        <is>
          <t>BSA</t>
        </is>
      </c>
    </row>
    <row r="124">
      <c r="C124" s="12" t="inlineStr">
        <is>
          <t>BSA</t>
        </is>
      </c>
      <c r="D124" s="12" t="inlineStr">
        <is>
          <t>BSA</t>
        </is>
      </c>
      <c r="E124" s="12" t="inlineStr">
        <is>
          <t>당월</t>
        </is>
      </c>
      <c r="F124" s="12" t="inlineStr">
        <is>
          <t>5월 3주차</t>
        </is>
      </c>
      <c r="G124" s="12" t="inlineStr">
        <is>
          <t>네이버</t>
        </is>
      </c>
      <c r="H124" s="13" t="n">
        <v>45061</v>
      </c>
      <c r="I124" s="12" t="inlineStr">
        <is>
          <t>MO</t>
        </is>
      </c>
      <c r="J124" s="12" t="inlineStr">
        <is>
          <t>00.브랜드검색PCMO</t>
        </is>
      </c>
      <c r="K124" s="12" t="inlineStr">
        <is>
          <t>01.MO브랜드검색</t>
        </is>
      </c>
      <c r="L124" s="12" t="n"/>
      <c r="M124" s="12" t="n">
        <v>0</v>
      </c>
      <c r="N124" s="12" t="n">
        <v>0</v>
      </c>
      <c r="O124" s="12" t="n">
        <v>51333.33333333334</v>
      </c>
      <c r="P124" s="12" t="n">
        <v>0</v>
      </c>
      <c r="Q124" s="12" t="n">
        <v>0</v>
      </c>
      <c r="R124" s="12" t="n">
        <v>0</v>
      </c>
      <c r="S124" s="12" t="n">
        <v>0</v>
      </c>
      <c r="T124" s="12" t="inlineStr">
        <is>
          <t>BSA</t>
        </is>
      </c>
      <c r="U124" s="12" t="inlineStr">
        <is>
          <t>BSA</t>
        </is>
      </c>
    </row>
    <row r="125">
      <c r="C125" s="12" t="inlineStr">
        <is>
          <t>BSA</t>
        </is>
      </c>
      <c r="D125" s="12" t="inlineStr">
        <is>
          <t>BSA</t>
        </is>
      </c>
      <c r="E125" s="12" t="inlineStr">
        <is>
          <t>당월</t>
        </is>
      </c>
      <c r="F125" s="12" t="inlineStr">
        <is>
          <t>5월 3주차</t>
        </is>
      </c>
      <c r="G125" s="12" t="inlineStr">
        <is>
          <t>네이버</t>
        </is>
      </c>
      <c r="H125" s="13" t="n">
        <v>45062</v>
      </c>
      <c r="I125" s="12" t="inlineStr">
        <is>
          <t>PC</t>
        </is>
      </c>
      <c r="J125" s="12" t="inlineStr">
        <is>
          <t>00.브랜드검색PCMO</t>
        </is>
      </c>
      <c r="K125" s="12" t="inlineStr">
        <is>
          <t>01.PC브랜드검색</t>
        </is>
      </c>
      <c r="L125" s="12" t="n"/>
      <c r="M125" s="12" t="n">
        <v>0</v>
      </c>
      <c r="N125" s="12" t="n">
        <v>0</v>
      </c>
      <c r="O125" s="12" t="n">
        <v>36666.66666666666</v>
      </c>
      <c r="P125" s="12" t="n">
        <v>0</v>
      </c>
      <c r="Q125" s="12" t="n">
        <v>0</v>
      </c>
      <c r="R125" s="12" t="n">
        <v>0</v>
      </c>
      <c r="S125" s="12" t="n">
        <v>0</v>
      </c>
      <c r="T125" s="12" t="inlineStr">
        <is>
          <t>BSA</t>
        </is>
      </c>
      <c r="U125" s="12" t="inlineStr">
        <is>
          <t>BSA</t>
        </is>
      </c>
    </row>
    <row r="126">
      <c r="C126" s="12" t="inlineStr">
        <is>
          <t>BSA</t>
        </is>
      </c>
      <c r="D126" s="12" t="inlineStr">
        <is>
          <t>BSA</t>
        </is>
      </c>
      <c r="E126" s="12" t="inlineStr">
        <is>
          <t>당월</t>
        </is>
      </c>
      <c r="F126" s="12" t="inlineStr">
        <is>
          <t>5월 3주차</t>
        </is>
      </c>
      <c r="G126" s="12" t="inlineStr">
        <is>
          <t>네이버</t>
        </is>
      </c>
      <c r="H126" s="13" t="n">
        <v>45062</v>
      </c>
      <c r="I126" s="12" t="inlineStr">
        <is>
          <t>MO</t>
        </is>
      </c>
      <c r="J126" s="12" t="inlineStr">
        <is>
          <t>00.브랜드검색PCMO</t>
        </is>
      </c>
      <c r="K126" s="12" t="inlineStr">
        <is>
          <t>01.MO브랜드검색</t>
        </is>
      </c>
      <c r="L126" s="12" t="n"/>
      <c r="M126" s="12" t="n">
        <v>0</v>
      </c>
      <c r="N126" s="12" t="n">
        <v>0</v>
      </c>
      <c r="O126" s="12" t="n">
        <v>51333.33333333334</v>
      </c>
      <c r="P126" s="12" t="n">
        <v>0</v>
      </c>
      <c r="Q126" s="12" t="n">
        <v>0</v>
      </c>
      <c r="R126" s="12" t="n">
        <v>0</v>
      </c>
      <c r="S126" s="12" t="n">
        <v>0</v>
      </c>
      <c r="T126" s="12" t="inlineStr">
        <is>
          <t>BSA</t>
        </is>
      </c>
      <c r="U126" s="12" t="inlineStr">
        <is>
          <t>BSA</t>
        </is>
      </c>
    </row>
    <row r="127">
      <c r="C127" s="12" t="inlineStr">
        <is>
          <t>BSA</t>
        </is>
      </c>
      <c r="D127" s="12" t="inlineStr">
        <is>
          <t>BSA</t>
        </is>
      </c>
      <c r="E127" s="12" t="inlineStr">
        <is>
          <t>당월</t>
        </is>
      </c>
      <c r="F127" s="12" t="inlineStr">
        <is>
          <t>5월 3주차</t>
        </is>
      </c>
      <c r="G127" s="12" t="inlineStr">
        <is>
          <t>네이버</t>
        </is>
      </c>
      <c r="H127" s="13" t="n">
        <v>45063</v>
      </c>
      <c r="I127" s="12" t="inlineStr">
        <is>
          <t>PC</t>
        </is>
      </c>
      <c r="J127" s="12" t="inlineStr">
        <is>
          <t>00.브랜드검색PCMO</t>
        </is>
      </c>
      <c r="K127" s="12" t="inlineStr">
        <is>
          <t>01.PC브랜드검색</t>
        </is>
      </c>
      <c r="L127" s="12" t="n"/>
      <c r="M127" s="12" t="n">
        <v>0</v>
      </c>
      <c r="N127" s="12" t="n">
        <v>0</v>
      </c>
      <c r="O127" s="12" t="n">
        <v>36666.66666666666</v>
      </c>
      <c r="P127" s="12" t="n">
        <v>0</v>
      </c>
      <c r="Q127" s="12" t="n">
        <v>0</v>
      </c>
      <c r="R127" s="12" t="n">
        <v>0</v>
      </c>
      <c r="S127" s="12" t="n">
        <v>0</v>
      </c>
      <c r="T127" s="12" t="inlineStr">
        <is>
          <t>BSA</t>
        </is>
      </c>
      <c r="U127" s="12" t="inlineStr">
        <is>
          <t>BSA</t>
        </is>
      </c>
    </row>
    <row r="128">
      <c r="C128" s="12" t="inlineStr">
        <is>
          <t>BSA</t>
        </is>
      </c>
      <c r="D128" s="12" t="inlineStr">
        <is>
          <t>BSA</t>
        </is>
      </c>
      <c r="E128" s="12" t="inlineStr">
        <is>
          <t>당월</t>
        </is>
      </c>
      <c r="F128" s="12" t="inlineStr">
        <is>
          <t>5월 3주차</t>
        </is>
      </c>
      <c r="G128" s="12" t="inlineStr">
        <is>
          <t>네이버</t>
        </is>
      </c>
      <c r="H128" s="13" t="n">
        <v>45063</v>
      </c>
      <c r="I128" s="12" t="inlineStr">
        <is>
          <t>MO</t>
        </is>
      </c>
      <c r="J128" s="12" t="inlineStr">
        <is>
          <t>00.브랜드검색PCMO</t>
        </is>
      </c>
      <c r="K128" s="12" t="inlineStr">
        <is>
          <t>01.MO브랜드검색</t>
        </is>
      </c>
      <c r="L128" s="12" t="n"/>
      <c r="M128" s="12" t="n">
        <v>0</v>
      </c>
      <c r="N128" s="12" t="n">
        <v>0</v>
      </c>
      <c r="O128" s="12" t="n">
        <v>51333.33333333334</v>
      </c>
      <c r="P128" s="12" t="n">
        <v>0</v>
      </c>
      <c r="Q128" s="12" t="n">
        <v>0</v>
      </c>
      <c r="R128" s="12" t="n">
        <v>0</v>
      </c>
      <c r="S128" s="12" t="n">
        <v>0</v>
      </c>
      <c r="T128" s="12" t="inlineStr">
        <is>
          <t>BSA</t>
        </is>
      </c>
      <c r="U128" s="12" t="inlineStr">
        <is>
          <t>BSA</t>
        </is>
      </c>
    </row>
    <row r="129">
      <c r="C129" s="12" t="inlineStr">
        <is>
          <t>BSA</t>
        </is>
      </c>
      <c r="D129" s="12" t="inlineStr">
        <is>
          <t>BSA</t>
        </is>
      </c>
      <c r="E129" s="12" t="inlineStr">
        <is>
          <t>당월</t>
        </is>
      </c>
      <c r="F129" s="12" t="inlineStr">
        <is>
          <t>5월 3주차</t>
        </is>
      </c>
      <c r="G129" s="12" t="inlineStr">
        <is>
          <t>네이버</t>
        </is>
      </c>
      <c r="H129" s="13" t="n">
        <v>45064</v>
      </c>
      <c r="I129" s="12" t="inlineStr">
        <is>
          <t>PC</t>
        </is>
      </c>
      <c r="J129" s="12" t="inlineStr">
        <is>
          <t>00.브랜드검색PCMO</t>
        </is>
      </c>
      <c r="K129" s="12" t="inlineStr">
        <is>
          <t>01.PC브랜드검색</t>
        </is>
      </c>
      <c r="L129" s="12" t="n"/>
      <c r="M129" s="12" t="n">
        <v>0</v>
      </c>
      <c r="N129" s="12" t="n">
        <v>0</v>
      </c>
      <c r="O129" s="12" t="n">
        <v>36666.66666666666</v>
      </c>
      <c r="P129" s="12" t="n">
        <v>0</v>
      </c>
      <c r="Q129" s="12" t="n">
        <v>0</v>
      </c>
      <c r="R129" s="12" t="n">
        <v>0</v>
      </c>
      <c r="S129" s="12" t="n">
        <v>0</v>
      </c>
      <c r="T129" s="12" t="inlineStr">
        <is>
          <t>BSA</t>
        </is>
      </c>
      <c r="U129" s="12" t="inlineStr">
        <is>
          <t>BSA</t>
        </is>
      </c>
    </row>
    <row r="130">
      <c r="C130" s="12" t="inlineStr">
        <is>
          <t>BSA</t>
        </is>
      </c>
      <c r="D130" s="12" t="inlineStr">
        <is>
          <t>BSA</t>
        </is>
      </c>
      <c r="E130" s="12" t="inlineStr">
        <is>
          <t>당월</t>
        </is>
      </c>
      <c r="F130" s="12" t="inlineStr">
        <is>
          <t>5월 3주차</t>
        </is>
      </c>
      <c r="G130" s="12" t="inlineStr">
        <is>
          <t>네이버</t>
        </is>
      </c>
      <c r="H130" s="13" t="n">
        <v>45064</v>
      </c>
      <c r="I130" s="12" t="inlineStr">
        <is>
          <t>MO</t>
        </is>
      </c>
      <c r="J130" s="12" t="inlineStr">
        <is>
          <t>00.브랜드검색PCMO</t>
        </is>
      </c>
      <c r="K130" s="12" t="inlineStr">
        <is>
          <t>01.MO브랜드검색</t>
        </is>
      </c>
      <c r="L130" s="12" t="n"/>
      <c r="M130" s="12" t="n">
        <v>0</v>
      </c>
      <c r="N130" s="12" t="n">
        <v>0</v>
      </c>
      <c r="O130" s="12" t="n">
        <v>51333.33333333334</v>
      </c>
      <c r="P130" s="12" t="n">
        <v>0</v>
      </c>
      <c r="Q130" s="12" t="n">
        <v>0</v>
      </c>
      <c r="R130" s="12" t="n">
        <v>0</v>
      </c>
      <c r="S130" s="12" t="n">
        <v>0</v>
      </c>
      <c r="T130" s="12" t="inlineStr">
        <is>
          <t>BSA</t>
        </is>
      </c>
      <c r="U130" s="12" t="inlineStr">
        <is>
          <t>BSA</t>
        </is>
      </c>
    </row>
    <row r="131">
      <c r="C131" s="12" t="inlineStr">
        <is>
          <t>BSA</t>
        </is>
      </c>
      <c r="D131" s="12" t="inlineStr">
        <is>
          <t>BSA</t>
        </is>
      </c>
      <c r="E131" s="12" t="inlineStr">
        <is>
          <t>당월</t>
        </is>
      </c>
      <c r="F131" s="12" t="inlineStr">
        <is>
          <t>5월 3주차</t>
        </is>
      </c>
      <c r="G131" s="12" t="inlineStr">
        <is>
          <t>네이버</t>
        </is>
      </c>
      <c r="H131" s="13" t="n">
        <v>45065</v>
      </c>
      <c r="I131" s="12" t="inlineStr">
        <is>
          <t>PC</t>
        </is>
      </c>
      <c r="J131" s="12" t="inlineStr">
        <is>
          <t>00.브랜드검색PCMO</t>
        </is>
      </c>
      <c r="K131" s="12" t="inlineStr">
        <is>
          <t>01.PC브랜드검색</t>
        </is>
      </c>
      <c r="L131" s="12" t="n"/>
      <c r="M131" s="12" t="n">
        <v>0</v>
      </c>
      <c r="N131" s="12" t="n">
        <v>0</v>
      </c>
      <c r="O131" s="12" t="n">
        <v>36666.66666666666</v>
      </c>
      <c r="P131" s="12" t="n">
        <v>0</v>
      </c>
      <c r="Q131" s="12" t="n">
        <v>0</v>
      </c>
      <c r="R131" s="12" t="n">
        <v>0</v>
      </c>
      <c r="S131" s="12" t="n">
        <v>0</v>
      </c>
      <c r="T131" s="12" t="inlineStr">
        <is>
          <t>BSA</t>
        </is>
      </c>
      <c r="U131" s="12" t="inlineStr">
        <is>
          <t>BSA</t>
        </is>
      </c>
    </row>
    <row r="132">
      <c r="C132" s="12" t="inlineStr">
        <is>
          <t>BSA</t>
        </is>
      </c>
      <c r="D132" s="12" t="inlineStr">
        <is>
          <t>BSA</t>
        </is>
      </c>
      <c r="E132" s="12" t="inlineStr">
        <is>
          <t>당월</t>
        </is>
      </c>
      <c r="F132" s="12" t="inlineStr">
        <is>
          <t>5월 3주차</t>
        </is>
      </c>
      <c r="G132" s="12" t="inlineStr">
        <is>
          <t>네이버</t>
        </is>
      </c>
      <c r="H132" s="13" t="n">
        <v>45065</v>
      </c>
      <c r="I132" s="12" t="inlineStr">
        <is>
          <t>MO</t>
        </is>
      </c>
      <c r="J132" s="12" t="inlineStr">
        <is>
          <t>00.브랜드검색PCMO</t>
        </is>
      </c>
      <c r="K132" s="12" t="inlineStr">
        <is>
          <t>01.MO브랜드검색</t>
        </is>
      </c>
      <c r="L132" s="12" t="n"/>
      <c r="M132" s="12" t="n">
        <v>0</v>
      </c>
      <c r="N132" s="12" t="n">
        <v>0</v>
      </c>
      <c r="O132" s="12" t="n">
        <v>51333.33333333334</v>
      </c>
      <c r="P132" s="12" t="n">
        <v>0</v>
      </c>
      <c r="Q132" s="12" t="n">
        <v>0</v>
      </c>
      <c r="R132" s="12" t="n">
        <v>0</v>
      </c>
      <c r="S132" s="12" t="n">
        <v>0</v>
      </c>
      <c r="T132" s="12" t="inlineStr">
        <is>
          <t>BSA</t>
        </is>
      </c>
      <c r="U132" s="12" t="inlineStr">
        <is>
          <t>BSA</t>
        </is>
      </c>
    </row>
    <row r="133">
      <c r="C133" s="12" t="inlineStr">
        <is>
          <t>BSA</t>
        </is>
      </c>
      <c r="D133" s="12" t="inlineStr">
        <is>
          <t>BSA</t>
        </is>
      </c>
      <c r="E133" s="12" t="inlineStr">
        <is>
          <t>당월</t>
        </is>
      </c>
      <c r="F133" s="12" t="inlineStr">
        <is>
          <t>5월 3주차</t>
        </is>
      </c>
      <c r="G133" s="12" t="inlineStr">
        <is>
          <t>네이버</t>
        </is>
      </c>
      <c r="H133" s="13" t="n">
        <v>45066</v>
      </c>
      <c r="I133" s="12" t="inlineStr">
        <is>
          <t>PC</t>
        </is>
      </c>
      <c r="J133" s="12" t="inlineStr">
        <is>
          <t>00.브랜드검색PCMO</t>
        </is>
      </c>
      <c r="K133" s="12" t="inlineStr">
        <is>
          <t>01.PC브랜드검색</t>
        </is>
      </c>
      <c r="L133" s="12" t="n"/>
      <c r="M133" s="12" t="n">
        <v>0</v>
      </c>
      <c r="N133" s="12" t="n">
        <v>0</v>
      </c>
      <c r="O133" s="12" t="n">
        <v>36666.66666666666</v>
      </c>
      <c r="P133" s="12" t="n">
        <v>0</v>
      </c>
      <c r="Q133" s="12" t="n">
        <v>0</v>
      </c>
      <c r="R133" s="12" t="n">
        <v>0</v>
      </c>
      <c r="S133" s="12" t="n">
        <v>0</v>
      </c>
      <c r="T133" s="12" t="inlineStr">
        <is>
          <t>BSA</t>
        </is>
      </c>
      <c r="U133" s="12" t="inlineStr">
        <is>
          <t>BSA</t>
        </is>
      </c>
    </row>
    <row r="134">
      <c r="C134" s="12" t="inlineStr">
        <is>
          <t>BSA</t>
        </is>
      </c>
      <c r="D134" s="12" t="inlineStr">
        <is>
          <t>BSA</t>
        </is>
      </c>
      <c r="E134" s="12" t="inlineStr">
        <is>
          <t>당월</t>
        </is>
      </c>
      <c r="F134" s="12" t="inlineStr">
        <is>
          <t>5월 3주차</t>
        </is>
      </c>
      <c r="G134" s="12" t="inlineStr">
        <is>
          <t>네이버</t>
        </is>
      </c>
      <c r="H134" s="13" t="n">
        <v>45066</v>
      </c>
      <c r="I134" s="12" t="inlineStr">
        <is>
          <t>MO</t>
        </is>
      </c>
      <c r="J134" s="12" t="inlineStr">
        <is>
          <t>00.브랜드검색PCMO</t>
        </is>
      </c>
      <c r="K134" s="12" t="inlineStr">
        <is>
          <t>01.MO브랜드검색</t>
        </is>
      </c>
      <c r="L134" s="12" t="n"/>
      <c r="M134" s="12" t="n">
        <v>0</v>
      </c>
      <c r="N134" s="12" t="n">
        <v>0</v>
      </c>
      <c r="O134" s="12" t="n">
        <v>51333.33333333334</v>
      </c>
      <c r="P134" s="12" t="n">
        <v>0</v>
      </c>
      <c r="Q134" s="12" t="n">
        <v>0</v>
      </c>
      <c r="R134" s="12" t="n">
        <v>0</v>
      </c>
      <c r="S134" s="12" t="n">
        <v>0</v>
      </c>
      <c r="T134" s="12" t="inlineStr">
        <is>
          <t>BSA</t>
        </is>
      </c>
      <c r="U134" s="12" t="inlineStr">
        <is>
          <t>BSA</t>
        </is>
      </c>
    </row>
    <row r="135">
      <c r="C135" s="12" t="inlineStr">
        <is>
          <t>BSA</t>
        </is>
      </c>
      <c r="D135" s="12" t="inlineStr">
        <is>
          <t>BSA</t>
        </is>
      </c>
      <c r="E135" s="12" t="inlineStr">
        <is>
          <t>당월</t>
        </is>
      </c>
      <c r="F135" s="12" t="inlineStr">
        <is>
          <t>5월 3주차</t>
        </is>
      </c>
      <c r="G135" s="12" t="inlineStr">
        <is>
          <t>네이버</t>
        </is>
      </c>
      <c r="H135" s="13" t="n">
        <v>45067</v>
      </c>
      <c r="I135" s="12" t="inlineStr">
        <is>
          <t>PC</t>
        </is>
      </c>
      <c r="J135" s="12" t="inlineStr">
        <is>
          <t>00.브랜드검색PCMO</t>
        </is>
      </c>
      <c r="K135" s="12" t="inlineStr">
        <is>
          <t>01.PC브랜드검색</t>
        </is>
      </c>
      <c r="L135" s="12" t="n"/>
      <c r="M135" s="12" t="n">
        <v>0</v>
      </c>
      <c r="N135" s="12" t="n">
        <v>0</v>
      </c>
      <c r="O135" s="12" t="n">
        <v>36666.66666666666</v>
      </c>
      <c r="P135" s="12" t="n">
        <v>0</v>
      </c>
      <c r="Q135" s="12" t="n">
        <v>0</v>
      </c>
      <c r="R135" s="12" t="n">
        <v>0</v>
      </c>
      <c r="S135" s="12" t="n">
        <v>0</v>
      </c>
      <c r="T135" s="12" t="inlineStr">
        <is>
          <t>BSA</t>
        </is>
      </c>
      <c r="U135" s="12" t="inlineStr">
        <is>
          <t>BSA</t>
        </is>
      </c>
    </row>
    <row r="136">
      <c r="C136" s="12" t="inlineStr">
        <is>
          <t>BSA</t>
        </is>
      </c>
      <c r="D136" s="12" t="inlineStr">
        <is>
          <t>BSA</t>
        </is>
      </c>
      <c r="E136" s="12" t="inlineStr">
        <is>
          <t>당월</t>
        </is>
      </c>
      <c r="F136" s="12" t="inlineStr">
        <is>
          <t>5월 3주차</t>
        </is>
      </c>
      <c r="G136" s="12" t="inlineStr">
        <is>
          <t>네이버</t>
        </is>
      </c>
      <c r="H136" s="13" t="n">
        <v>45067</v>
      </c>
      <c r="I136" s="12" t="inlineStr">
        <is>
          <t>MO</t>
        </is>
      </c>
      <c r="J136" s="12" t="inlineStr">
        <is>
          <t>00.브랜드검색PCMO</t>
        </is>
      </c>
      <c r="K136" s="12" t="inlineStr">
        <is>
          <t>01.MO브랜드검색</t>
        </is>
      </c>
      <c r="L136" s="12" t="n"/>
      <c r="M136" s="12" t="n">
        <v>0</v>
      </c>
      <c r="N136" s="12" t="n">
        <v>0</v>
      </c>
      <c r="O136" s="12" t="n">
        <v>51333.33333333334</v>
      </c>
      <c r="P136" s="12" t="n">
        <v>0</v>
      </c>
      <c r="Q136" s="12" t="n">
        <v>0</v>
      </c>
      <c r="R136" s="12" t="n">
        <v>0</v>
      </c>
      <c r="S136" s="12" t="n">
        <v>0</v>
      </c>
      <c r="T136" s="12" t="inlineStr">
        <is>
          <t>BSA</t>
        </is>
      </c>
      <c r="U136" s="12" t="inlineStr">
        <is>
          <t>BSA</t>
        </is>
      </c>
    </row>
    <row r="144">
      <c r="H144" s="13" t="n">
        <v>45068</v>
      </c>
    </row>
    <row r="145">
      <c r="H145" s="13" t="n">
        <v>45069</v>
      </c>
    </row>
    <row r="146">
      <c r="H146" s="13" t="n">
        <v>45070</v>
      </c>
    </row>
    <row r="147">
      <c r="H147" s="13" t="n">
        <v>45071</v>
      </c>
    </row>
    <row r="148">
      <c r="H148" s="13" t="n">
        <v>45072</v>
      </c>
    </row>
    <row r="149">
      <c r="H149" s="13" t="n">
        <v>45073</v>
      </c>
    </row>
    <row r="150">
      <c r="H150" s="13" t="n">
        <v>45074</v>
      </c>
    </row>
    <row r="151">
      <c r="H151" s="13" t="n">
        <v>45075</v>
      </c>
    </row>
    <row r="152">
      <c r="H152" s="13" t="n">
        <v>45076</v>
      </c>
    </row>
    <row r="153">
      <c r="H153" s="13" t="n">
        <v>45077</v>
      </c>
    </row>
    <row r="161">
      <c r="C161" s="12" t="inlineStr">
        <is>
          <t>BSA</t>
        </is>
      </c>
      <c r="D161" s="12" t="inlineStr">
        <is>
          <t>BSA</t>
        </is>
      </c>
      <c r="E161" s="12" t="inlineStr">
        <is>
          <t>당월</t>
        </is>
      </c>
      <c r="F161" s="12" t="inlineStr">
        <is>
          <t>5월 4주차</t>
        </is>
      </c>
      <c r="G161" s="12" t="inlineStr">
        <is>
          <t>네이버</t>
        </is>
      </c>
      <c r="H161" s="13" t="n">
        <v>45068</v>
      </c>
      <c r="I161" s="12" t="inlineStr">
        <is>
          <t>PC</t>
        </is>
      </c>
      <c r="J161" s="12" t="inlineStr">
        <is>
          <t>00.브랜드검색PCMO</t>
        </is>
      </c>
      <c r="K161" s="12" t="inlineStr">
        <is>
          <t>01.PC브랜드검색</t>
        </is>
      </c>
      <c r="L161" s="12" t="n"/>
      <c r="M161" s="12" t="n">
        <v>0</v>
      </c>
      <c r="N161" s="12" t="n">
        <v>0</v>
      </c>
      <c r="O161" s="12" t="n">
        <v>36666.66666666666</v>
      </c>
      <c r="P161" s="12" t="n">
        <v>0</v>
      </c>
      <c r="Q161" s="12" t="n">
        <v>0</v>
      </c>
      <c r="R161" s="12" t="n">
        <v>0</v>
      </c>
      <c r="S161" s="12" t="n">
        <v>0</v>
      </c>
      <c r="T161" s="12" t="inlineStr">
        <is>
          <t>BSA</t>
        </is>
      </c>
      <c r="U161" s="12" t="inlineStr">
        <is>
          <t>BSA</t>
        </is>
      </c>
    </row>
    <row r="162">
      <c r="C162" s="12" t="inlineStr">
        <is>
          <t>BSA</t>
        </is>
      </c>
      <c r="D162" s="12" t="inlineStr">
        <is>
          <t>BSA</t>
        </is>
      </c>
      <c r="E162" s="12" t="inlineStr">
        <is>
          <t>당월</t>
        </is>
      </c>
      <c r="F162" s="12" t="inlineStr">
        <is>
          <t>5월 4주차</t>
        </is>
      </c>
      <c r="G162" s="12" t="inlineStr">
        <is>
          <t>네이버</t>
        </is>
      </c>
      <c r="H162" s="13" t="n">
        <v>45068</v>
      </c>
      <c r="I162" s="12" t="inlineStr">
        <is>
          <t>MO</t>
        </is>
      </c>
      <c r="J162" s="12" t="inlineStr">
        <is>
          <t>00.브랜드검색PCMO</t>
        </is>
      </c>
      <c r="K162" s="12" t="inlineStr">
        <is>
          <t>01.MO브랜드검색</t>
        </is>
      </c>
      <c r="L162" s="12" t="n"/>
      <c r="M162" s="12" t="n">
        <v>0</v>
      </c>
      <c r="N162" s="12" t="n">
        <v>0</v>
      </c>
      <c r="O162" s="12" t="n">
        <v>51333.33333333334</v>
      </c>
      <c r="P162" s="12" t="n">
        <v>0</v>
      </c>
      <c r="Q162" s="12" t="n">
        <v>0</v>
      </c>
      <c r="R162" s="12" t="n">
        <v>0</v>
      </c>
      <c r="S162" s="12" t="n">
        <v>0</v>
      </c>
      <c r="T162" s="12" t="inlineStr">
        <is>
          <t>BSA</t>
        </is>
      </c>
      <c r="U162" s="12" t="inlineStr">
        <is>
          <t>BSA</t>
        </is>
      </c>
    </row>
    <row r="163">
      <c r="C163" s="12" t="inlineStr">
        <is>
          <t>BSA</t>
        </is>
      </c>
      <c r="D163" s="12" t="inlineStr">
        <is>
          <t>BSA</t>
        </is>
      </c>
      <c r="E163" s="12" t="inlineStr">
        <is>
          <t>당월</t>
        </is>
      </c>
      <c r="F163" s="12" t="inlineStr">
        <is>
          <t>5월 4주차</t>
        </is>
      </c>
      <c r="G163" s="12" t="inlineStr">
        <is>
          <t>네이버</t>
        </is>
      </c>
      <c r="H163" s="13" t="n">
        <v>45069</v>
      </c>
      <c r="I163" s="12" t="inlineStr">
        <is>
          <t>PC</t>
        </is>
      </c>
      <c r="J163" s="12" t="inlineStr">
        <is>
          <t>00.브랜드검색PCMO</t>
        </is>
      </c>
      <c r="K163" s="12" t="inlineStr">
        <is>
          <t>01.PC브랜드검색</t>
        </is>
      </c>
      <c r="L163" s="12" t="n"/>
      <c r="M163" s="12" t="n">
        <v>0</v>
      </c>
      <c r="N163" s="12" t="n">
        <v>0</v>
      </c>
      <c r="O163" s="12" t="n">
        <v>36666.66666666666</v>
      </c>
      <c r="P163" s="12" t="n">
        <v>0</v>
      </c>
      <c r="Q163" s="12" t="n">
        <v>0</v>
      </c>
      <c r="R163" s="12" t="n">
        <v>0</v>
      </c>
      <c r="S163" s="12" t="n">
        <v>0</v>
      </c>
      <c r="T163" s="12" t="inlineStr">
        <is>
          <t>BSA</t>
        </is>
      </c>
      <c r="U163" s="12" t="inlineStr">
        <is>
          <t>BSA</t>
        </is>
      </c>
    </row>
    <row r="164">
      <c r="C164" s="12" t="inlineStr">
        <is>
          <t>BSA</t>
        </is>
      </c>
      <c r="D164" s="12" t="inlineStr">
        <is>
          <t>BSA</t>
        </is>
      </c>
      <c r="E164" s="12" t="inlineStr">
        <is>
          <t>당월</t>
        </is>
      </c>
      <c r="F164" s="12" t="inlineStr">
        <is>
          <t>5월 4주차</t>
        </is>
      </c>
      <c r="G164" s="12" t="inlineStr">
        <is>
          <t>네이버</t>
        </is>
      </c>
      <c r="H164" s="13" t="n">
        <v>45069</v>
      </c>
      <c r="I164" s="12" t="inlineStr">
        <is>
          <t>MO</t>
        </is>
      </c>
      <c r="J164" s="12" t="inlineStr">
        <is>
          <t>00.브랜드검색PCMO</t>
        </is>
      </c>
      <c r="K164" s="12" t="inlineStr">
        <is>
          <t>01.MO브랜드검색</t>
        </is>
      </c>
      <c r="L164" s="12" t="n"/>
      <c r="M164" s="12" t="n">
        <v>0</v>
      </c>
      <c r="N164" s="12" t="n">
        <v>0</v>
      </c>
      <c r="O164" s="12" t="n">
        <v>51333.33333333334</v>
      </c>
      <c r="P164" s="12" t="n">
        <v>0</v>
      </c>
      <c r="Q164" s="12" t="n">
        <v>0</v>
      </c>
      <c r="R164" s="12" t="n">
        <v>0</v>
      </c>
      <c r="S164" s="12" t="n">
        <v>0</v>
      </c>
      <c r="T164" s="12" t="inlineStr">
        <is>
          <t>BSA</t>
        </is>
      </c>
      <c r="U164" s="12" t="inlineStr">
        <is>
          <t>BSA</t>
        </is>
      </c>
    </row>
    <row r="165">
      <c r="C165" s="12" t="inlineStr">
        <is>
          <t>BSA</t>
        </is>
      </c>
      <c r="D165" s="12" t="inlineStr">
        <is>
          <t>BSA</t>
        </is>
      </c>
      <c r="E165" s="12" t="inlineStr">
        <is>
          <t>당월</t>
        </is>
      </c>
      <c r="F165" s="12" t="inlineStr">
        <is>
          <t>5월 4주차</t>
        </is>
      </c>
      <c r="G165" s="12" t="inlineStr">
        <is>
          <t>네이버</t>
        </is>
      </c>
      <c r="H165" s="13" t="n">
        <v>45070</v>
      </c>
      <c r="I165" s="12" t="inlineStr">
        <is>
          <t>PC</t>
        </is>
      </c>
      <c r="J165" s="12" t="inlineStr">
        <is>
          <t>00.브랜드검색PCMO</t>
        </is>
      </c>
      <c r="K165" s="12" t="inlineStr">
        <is>
          <t>01.PC브랜드검색</t>
        </is>
      </c>
      <c r="L165" s="12" t="n"/>
      <c r="M165" s="12" t="n">
        <v>0</v>
      </c>
      <c r="N165" s="12" t="n">
        <v>0</v>
      </c>
      <c r="O165" s="12" t="n">
        <v>36666.66666666666</v>
      </c>
      <c r="P165" s="12" t="n">
        <v>0</v>
      </c>
      <c r="Q165" s="12" t="n">
        <v>0</v>
      </c>
      <c r="R165" s="12" t="n">
        <v>0</v>
      </c>
      <c r="S165" s="12" t="n">
        <v>0</v>
      </c>
      <c r="T165" s="12" t="inlineStr">
        <is>
          <t>BSA</t>
        </is>
      </c>
      <c r="U165" s="12" t="inlineStr">
        <is>
          <t>BSA</t>
        </is>
      </c>
    </row>
    <row r="166">
      <c r="C166" s="12" t="inlineStr">
        <is>
          <t>BSA</t>
        </is>
      </c>
      <c r="D166" s="12" t="inlineStr">
        <is>
          <t>BSA</t>
        </is>
      </c>
      <c r="E166" s="12" t="inlineStr">
        <is>
          <t>당월</t>
        </is>
      </c>
      <c r="F166" s="12" t="inlineStr">
        <is>
          <t>5월 4주차</t>
        </is>
      </c>
      <c r="G166" s="12" t="inlineStr">
        <is>
          <t>네이버</t>
        </is>
      </c>
      <c r="H166" s="13" t="n">
        <v>45070</v>
      </c>
      <c r="I166" s="12" t="inlineStr">
        <is>
          <t>MO</t>
        </is>
      </c>
      <c r="J166" s="12" t="inlineStr">
        <is>
          <t>00.브랜드검색PCMO</t>
        </is>
      </c>
      <c r="K166" s="12" t="inlineStr">
        <is>
          <t>01.MO브랜드검색</t>
        </is>
      </c>
      <c r="L166" s="12" t="n"/>
      <c r="M166" s="12" t="n">
        <v>0</v>
      </c>
      <c r="N166" s="12" t="n">
        <v>0</v>
      </c>
      <c r="O166" s="12" t="n">
        <v>51333.33333333334</v>
      </c>
      <c r="P166" s="12" t="n">
        <v>0</v>
      </c>
      <c r="Q166" s="12" t="n">
        <v>0</v>
      </c>
      <c r="R166" s="12" t="n">
        <v>0</v>
      </c>
      <c r="S166" s="12" t="n">
        <v>0</v>
      </c>
      <c r="T166" s="12" t="inlineStr">
        <is>
          <t>BSA</t>
        </is>
      </c>
      <c r="U166" s="12" t="inlineStr">
        <is>
          <t>BSA</t>
        </is>
      </c>
    </row>
    <row r="167">
      <c r="C167" s="12" t="inlineStr">
        <is>
          <t>BSA</t>
        </is>
      </c>
      <c r="D167" s="12" t="inlineStr">
        <is>
          <t>BSA</t>
        </is>
      </c>
      <c r="E167" s="12" t="inlineStr">
        <is>
          <t>당월</t>
        </is>
      </c>
      <c r="F167" s="12" t="inlineStr">
        <is>
          <t>5월 4주차</t>
        </is>
      </c>
      <c r="G167" s="12" t="inlineStr">
        <is>
          <t>네이버</t>
        </is>
      </c>
      <c r="H167" s="13" t="n">
        <v>45071</v>
      </c>
      <c r="I167" s="12" t="inlineStr">
        <is>
          <t>PC</t>
        </is>
      </c>
      <c r="J167" s="12" t="inlineStr">
        <is>
          <t>00.브랜드검색PCMO</t>
        </is>
      </c>
      <c r="K167" s="12" t="inlineStr">
        <is>
          <t>01.PC브랜드검색</t>
        </is>
      </c>
      <c r="L167" s="12" t="n"/>
      <c r="M167" s="12" t="n">
        <v>0</v>
      </c>
      <c r="N167" s="12" t="n">
        <v>0</v>
      </c>
      <c r="O167" s="12" t="n">
        <v>36666.66666666666</v>
      </c>
      <c r="P167" s="12" t="n">
        <v>0</v>
      </c>
      <c r="Q167" s="12" t="n">
        <v>0</v>
      </c>
      <c r="R167" s="12" t="n">
        <v>0</v>
      </c>
      <c r="S167" s="12" t="n">
        <v>0</v>
      </c>
      <c r="T167" s="12" t="inlineStr">
        <is>
          <t>BSA</t>
        </is>
      </c>
      <c r="U167" s="12" t="inlineStr">
        <is>
          <t>BSA</t>
        </is>
      </c>
    </row>
    <row r="168">
      <c r="C168" s="12" t="inlineStr">
        <is>
          <t>BSA</t>
        </is>
      </c>
      <c r="D168" s="12" t="inlineStr">
        <is>
          <t>BSA</t>
        </is>
      </c>
      <c r="E168" s="12" t="inlineStr">
        <is>
          <t>당월</t>
        </is>
      </c>
      <c r="F168" s="12" t="inlineStr">
        <is>
          <t>5월 4주차</t>
        </is>
      </c>
      <c r="G168" s="12" t="inlineStr">
        <is>
          <t>네이버</t>
        </is>
      </c>
      <c r="H168" s="13" t="n">
        <v>45071</v>
      </c>
      <c r="I168" s="12" t="inlineStr">
        <is>
          <t>MO</t>
        </is>
      </c>
      <c r="J168" s="12" t="inlineStr">
        <is>
          <t>00.브랜드검색PCMO</t>
        </is>
      </c>
      <c r="K168" s="12" t="inlineStr">
        <is>
          <t>01.MO브랜드검색</t>
        </is>
      </c>
      <c r="L168" s="12" t="n"/>
      <c r="M168" s="12" t="n">
        <v>0</v>
      </c>
      <c r="N168" s="12" t="n">
        <v>0</v>
      </c>
      <c r="O168" s="12" t="n">
        <v>51333.33333333334</v>
      </c>
      <c r="P168" s="12" t="n">
        <v>0</v>
      </c>
      <c r="Q168" s="12" t="n">
        <v>0</v>
      </c>
      <c r="R168" s="12" t="n">
        <v>0</v>
      </c>
      <c r="S168" s="12" t="n">
        <v>0</v>
      </c>
      <c r="T168" s="12" t="inlineStr">
        <is>
          <t>BSA</t>
        </is>
      </c>
      <c r="U168" s="12" t="inlineStr">
        <is>
          <t>BSA</t>
        </is>
      </c>
    </row>
    <row r="169">
      <c r="C169" s="12" t="inlineStr">
        <is>
          <t>BSA</t>
        </is>
      </c>
      <c r="D169" s="12" t="inlineStr">
        <is>
          <t>BSA</t>
        </is>
      </c>
      <c r="E169" s="12" t="inlineStr">
        <is>
          <t>당월</t>
        </is>
      </c>
      <c r="F169" s="12" t="inlineStr">
        <is>
          <t>5월 4주차</t>
        </is>
      </c>
      <c r="G169" s="12" t="inlineStr">
        <is>
          <t>네이버</t>
        </is>
      </c>
      <c r="H169" s="13" t="n">
        <v>45072</v>
      </c>
      <c r="I169" s="12" t="inlineStr">
        <is>
          <t>PC</t>
        </is>
      </c>
      <c r="J169" s="12" t="inlineStr">
        <is>
          <t>00.브랜드검색PCMO</t>
        </is>
      </c>
      <c r="K169" s="12" t="inlineStr">
        <is>
          <t>01.PC브랜드검색</t>
        </is>
      </c>
      <c r="L169" s="12" t="n"/>
      <c r="M169" s="12" t="n">
        <v>0</v>
      </c>
      <c r="N169" s="12" t="n">
        <v>0</v>
      </c>
      <c r="O169" s="12" t="n">
        <v>36666.66666666666</v>
      </c>
      <c r="P169" s="12" t="n">
        <v>0</v>
      </c>
      <c r="Q169" s="12" t="n">
        <v>0</v>
      </c>
      <c r="R169" s="12" t="n">
        <v>0</v>
      </c>
      <c r="S169" s="12" t="n">
        <v>0</v>
      </c>
      <c r="T169" s="12" t="inlineStr">
        <is>
          <t>BSA</t>
        </is>
      </c>
      <c r="U169" s="12" t="inlineStr">
        <is>
          <t>BSA</t>
        </is>
      </c>
    </row>
    <row r="170">
      <c r="C170" s="12" t="inlineStr">
        <is>
          <t>BSA</t>
        </is>
      </c>
      <c r="D170" s="12" t="inlineStr">
        <is>
          <t>BSA</t>
        </is>
      </c>
      <c r="E170" s="12" t="inlineStr">
        <is>
          <t>당월</t>
        </is>
      </c>
      <c r="F170" s="12" t="inlineStr">
        <is>
          <t>5월 4주차</t>
        </is>
      </c>
      <c r="G170" s="12" t="inlineStr">
        <is>
          <t>네이버</t>
        </is>
      </c>
      <c r="H170" s="13" t="n">
        <v>45072</v>
      </c>
      <c r="I170" s="12" t="inlineStr">
        <is>
          <t>MO</t>
        </is>
      </c>
      <c r="J170" s="12" t="inlineStr">
        <is>
          <t>00.브랜드검색PCMO</t>
        </is>
      </c>
      <c r="K170" s="12" t="inlineStr">
        <is>
          <t>01.MO브랜드검색</t>
        </is>
      </c>
      <c r="L170" s="12" t="n"/>
      <c r="M170" s="12" t="n">
        <v>0</v>
      </c>
      <c r="N170" s="12" t="n">
        <v>0</v>
      </c>
      <c r="O170" s="12" t="n">
        <v>51333.33333333334</v>
      </c>
      <c r="P170" s="12" t="n">
        <v>0</v>
      </c>
      <c r="Q170" s="12" t="n">
        <v>0</v>
      </c>
      <c r="R170" s="12" t="n">
        <v>0</v>
      </c>
      <c r="S170" s="12" t="n">
        <v>0</v>
      </c>
      <c r="T170" s="12" t="inlineStr">
        <is>
          <t>BSA</t>
        </is>
      </c>
      <c r="U170" s="12" t="inlineStr">
        <is>
          <t>BSA</t>
        </is>
      </c>
    </row>
    <row r="171">
      <c r="C171" s="12" t="inlineStr">
        <is>
          <t>BSA</t>
        </is>
      </c>
      <c r="D171" s="12" t="inlineStr">
        <is>
          <t>BSA</t>
        </is>
      </c>
      <c r="E171" s="12" t="inlineStr">
        <is>
          <t>당월</t>
        </is>
      </c>
      <c r="F171" s="12" t="inlineStr">
        <is>
          <t>5월 4주차</t>
        </is>
      </c>
      <c r="G171" s="12" t="inlineStr">
        <is>
          <t>네이버</t>
        </is>
      </c>
      <c r="H171" s="13" t="n">
        <v>45073</v>
      </c>
      <c r="I171" s="12" t="inlineStr">
        <is>
          <t>PC</t>
        </is>
      </c>
      <c r="J171" s="12" t="inlineStr">
        <is>
          <t>00.브랜드검색PCMO</t>
        </is>
      </c>
      <c r="K171" s="12" t="inlineStr">
        <is>
          <t>01.PC브랜드검색</t>
        </is>
      </c>
      <c r="L171" s="12" t="n"/>
      <c r="M171" s="12" t="n">
        <v>0</v>
      </c>
      <c r="N171" s="12" t="n">
        <v>0</v>
      </c>
      <c r="O171" s="12" t="n">
        <v>36666.66666666666</v>
      </c>
      <c r="P171" s="12" t="n">
        <v>0</v>
      </c>
      <c r="Q171" s="12" t="n">
        <v>0</v>
      </c>
      <c r="R171" s="12" t="n">
        <v>0</v>
      </c>
      <c r="S171" s="12" t="n">
        <v>0</v>
      </c>
      <c r="T171" s="12" t="inlineStr">
        <is>
          <t>BSA</t>
        </is>
      </c>
      <c r="U171" s="12" t="inlineStr">
        <is>
          <t>BSA</t>
        </is>
      </c>
    </row>
    <row r="172">
      <c r="C172" s="12" t="inlineStr">
        <is>
          <t>BSA</t>
        </is>
      </c>
      <c r="D172" s="12" t="inlineStr">
        <is>
          <t>BSA</t>
        </is>
      </c>
      <c r="E172" s="12" t="inlineStr">
        <is>
          <t>당월</t>
        </is>
      </c>
      <c r="F172" s="12" t="inlineStr">
        <is>
          <t>5월 4주차</t>
        </is>
      </c>
      <c r="G172" s="12" t="inlineStr">
        <is>
          <t>네이버</t>
        </is>
      </c>
      <c r="H172" s="13" t="n">
        <v>45073</v>
      </c>
      <c r="I172" s="12" t="inlineStr">
        <is>
          <t>MO</t>
        </is>
      </c>
      <c r="J172" s="12" t="inlineStr">
        <is>
          <t>00.브랜드검색PCMO</t>
        </is>
      </c>
      <c r="K172" s="12" t="inlineStr">
        <is>
          <t>01.MO브랜드검색</t>
        </is>
      </c>
      <c r="L172" s="12" t="n"/>
      <c r="M172" s="12" t="n">
        <v>0</v>
      </c>
      <c r="N172" s="12" t="n">
        <v>0</v>
      </c>
      <c r="O172" s="12" t="n">
        <v>51333.33333333334</v>
      </c>
      <c r="P172" s="12" t="n">
        <v>0</v>
      </c>
      <c r="Q172" s="12" t="n">
        <v>0</v>
      </c>
      <c r="R172" s="12" t="n">
        <v>0</v>
      </c>
      <c r="S172" s="12" t="n">
        <v>0</v>
      </c>
      <c r="T172" s="12" t="inlineStr">
        <is>
          <t>BSA</t>
        </is>
      </c>
      <c r="U172" s="12" t="inlineStr">
        <is>
          <t>BSA</t>
        </is>
      </c>
    </row>
    <row r="173">
      <c r="C173" s="12" t="inlineStr">
        <is>
          <t>BSA</t>
        </is>
      </c>
      <c r="D173" s="12" t="inlineStr">
        <is>
          <t>BSA</t>
        </is>
      </c>
      <c r="E173" s="12" t="inlineStr">
        <is>
          <t>당월</t>
        </is>
      </c>
      <c r="F173" s="12" t="inlineStr">
        <is>
          <t>5월 4주차</t>
        </is>
      </c>
      <c r="G173" s="12" t="inlineStr">
        <is>
          <t>네이버</t>
        </is>
      </c>
      <c r="H173" s="13" t="n">
        <v>45074</v>
      </c>
      <c r="I173" s="12" t="inlineStr">
        <is>
          <t>PC</t>
        </is>
      </c>
      <c r="J173" s="12" t="inlineStr">
        <is>
          <t>00.브랜드검색PCMO</t>
        </is>
      </c>
      <c r="K173" s="12" t="inlineStr">
        <is>
          <t>01.PC브랜드검색</t>
        </is>
      </c>
      <c r="L173" s="12" t="n"/>
      <c r="M173" s="12" t="n">
        <v>0</v>
      </c>
      <c r="N173" s="12" t="n">
        <v>0</v>
      </c>
      <c r="O173" s="12" t="n">
        <v>36666.66666666666</v>
      </c>
      <c r="P173" s="12" t="n">
        <v>0</v>
      </c>
      <c r="Q173" s="12" t="n">
        <v>0</v>
      </c>
      <c r="R173" s="12" t="n">
        <v>0</v>
      </c>
      <c r="S173" s="12" t="n">
        <v>0</v>
      </c>
      <c r="T173" s="12" t="inlineStr">
        <is>
          <t>BSA</t>
        </is>
      </c>
      <c r="U173" s="12" t="inlineStr">
        <is>
          <t>BSA</t>
        </is>
      </c>
    </row>
    <row r="174">
      <c r="C174" s="12" t="inlineStr">
        <is>
          <t>BSA</t>
        </is>
      </c>
      <c r="D174" s="12" t="inlineStr">
        <is>
          <t>BSA</t>
        </is>
      </c>
      <c r="E174" s="12" t="inlineStr">
        <is>
          <t>당월</t>
        </is>
      </c>
      <c r="F174" s="12" t="inlineStr">
        <is>
          <t>5월 4주차</t>
        </is>
      </c>
      <c r="G174" s="12" t="inlineStr">
        <is>
          <t>네이버</t>
        </is>
      </c>
      <c r="H174" s="13" t="n">
        <v>45074</v>
      </c>
      <c r="I174" s="12" t="inlineStr">
        <is>
          <t>MO</t>
        </is>
      </c>
      <c r="J174" s="12" t="inlineStr">
        <is>
          <t>00.브랜드검색PCMO</t>
        </is>
      </c>
      <c r="K174" s="12" t="inlineStr">
        <is>
          <t>01.MO브랜드검색</t>
        </is>
      </c>
      <c r="L174" s="12" t="n"/>
      <c r="M174" s="12" t="n">
        <v>0</v>
      </c>
      <c r="N174" s="12" t="n">
        <v>0</v>
      </c>
      <c r="O174" s="12" t="n">
        <v>51333.33333333334</v>
      </c>
      <c r="P174" s="12" t="n">
        <v>0</v>
      </c>
      <c r="Q174" s="12" t="n">
        <v>0</v>
      </c>
      <c r="R174" s="12" t="n">
        <v>0</v>
      </c>
      <c r="S174" s="12" t="n">
        <v>0</v>
      </c>
      <c r="T174" s="12" t="inlineStr">
        <is>
          <t>BSA</t>
        </is>
      </c>
      <c r="U174" s="12" t="inlineStr">
        <is>
          <t>BSA</t>
        </is>
      </c>
    </row>
    <row r="176">
      <c r="C176" s="12" t="inlineStr">
        <is>
          <t>BSA</t>
        </is>
      </c>
      <c r="D176" s="12" t="inlineStr">
        <is>
          <t>BSA</t>
        </is>
      </c>
      <c r="E176" s="12" t="inlineStr">
        <is>
          <t>당월</t>
        </is>
      </c>
      <c r="F176" s="12" t="inlineStr">
        <is>
          <t>5월 5주차</t>
        </is>
      </c>
      <c r="G176" s="12" t="inlineStr">
        <is>
          <t>네이버</t>
        </is>
      </c>
      <c r="H176" s="13" t="n">
        <v>45075</v>
      </c>
      <c r="I176" s="12" t="inlineStr">
        <is>
          <t>PC</t>
        </is>
      </c>
      <c r="J176" s="12" t="inlineStr">
        <is>
          <t>00.브랜드검색PCMO</t>
        </is>
      </c>
      <c r="K176" s="12" t="inlineStr">
        <is>
          <t>01.PC브랜드검색</t>
        </is>
      </c>
      <c r="L176" s="12" t="n"/>
      <c r="M176" s="12" t="n">
        <v>0</v>
      </c>
      <c r="N176" s="12" t="n">
        <v>0</v>
      </c>
      <c r="O176" s="12" t="n">
        <v>36666.66666666666</v>
      </c>
      <c r="P176" s="12" t="n">
        <v>0</v>
      </c>
      <c r="Q176" s="12" t="n">
        <v>0</v>
      </c>
      <c r="R176" s="12" t="n">
        <v>0</v>
      </c>
      <c r="S176" s="12" t="n">
        <v>0</v>
      </c>
      <c r="T176" s="12" t="inlineStr">
        <is>
          <t>BSA</t>
        </is>
      </c>
      <c r="U176" s="12" t="inlineStr">
        <is>
          <t>BSA</t>
        </is>
      </c>
    </row>
    <row r="177">
      <c r="C177" s="12" t="inlineStr">
        <is>
          <t>BSA</t>
        </is>
      </c>
      <c r="D177" s="12" t="inlineStr">
        <is>
          <t>BSA</t>
        </is>
      </c>
      <c r="E177" s="12" t="inlineStr">
        <is>
          <t>당월</t>
        </is>
      </c>
      <c r="F177" s="12" t="inlineStr">
        <is>
          <t>5월 5주차</t>
        </is>
      </c>
      <c r="G177" s="12" t="inlineStr">
        <is>
          <t>네이버</t>
        </is>
      </c>
      <c r="H177" s="13" t="n">
        <v>45075</v>
      </c>
      <c r="I177" s="12" t="inlineStr">
        <is>
          <t>MO</t>
        </is>
      </c>
      <c r="J177" s="12" t="inlineStr">
        <is>
          <t>00.브랜드검색PCMO</t>
        </is>
      </c>
      <c r="K177" s="12" t="inlineStr">
        <is>
          <t>01.MO브랜드검색</t>
        </is>
      </c>
      <c r="L177" s="12" t="n"/>
      <c r="M177" s="12" t="n">
        <v>0</v>
      </c>
      <c r="N177" s="12" t="n">
        <v>0</v>
      </c>
      <c r="O177" s="12" t="n">
        <v>51333.33333333334</v>
      </c>
      <c r="P177" s="12" t="n">
        <v>0</v>
      </c>
      <c r="Q177" s="12" t="n">
        <v>0</v>
      </c>
      <c r="R177" s="12" t="n">
        <v>0</v>
      </c>
      <c r="S177" s="12" t="n">
        <v>0</v>
      </c>
      <c r="T177" s="12" t="inlineStr">
        <is>
          <t>BSA</t>
        </is>
      </c>
      <c r="U177" s="12" t="inlineStr">
        <is>
          <t>BSA</t>
        </is>
      </c>
    </row>
    <row r="180">
      <c r="C180" s="12" t="inlineStr">
        <is>
          <t>BSA</t>
        </is>
      </c>
      <c r="D180" s="12" t="inlineStr">
        <is>
          <t>BSA</t>
        </is>
      </c>
      <c r="E180" s="12" t="inlineStr">
        <is>
          <t>당월</t>
        </is>
      </c>
      <c r="F180" s="12" t="inlineStr">
        <is>
          <t>5월 5주차</t>
        </is>
      </c>
      <c r="G180" s="12" t="inlineStr">
        <is>
          <t>네이버</t>
        </is>
      </c>
      <c r="H180" s="13" t="n">
        <v>45076</v>
      </c>
      <c r="I180" s="12" t="inlineStr">
        <is>
          <t>PC</t>
        </is>
      </c>
      <c r="J180" s="12" t="inlineStr">
        <is>
          <t>00.브랜드검색PCMO</t>
        </is>
      </c>
      <c r="K180" s="12" t="inlineStr">
        <is>
          <t>01.PC브랜드검색</t>
        </is>
      </c>
      <c r="L180" s="12" t="n"/>
      <c r="M180" s="12" t="n">
        <v>0</v>
      </c>
      <c r="N180" s="12" t="n">
        <v>0</v>
      </c>
      <c r="O180" s="12" t="n">
        <v>36666.66666666666</v>
      </c>
      <c r="P180" s="12" t="n">
        <v>0</v>
      </c>
      <c r="Q180" s="12" t="n">
        <v>0</v>
      </c>
      <c r="R180" s="12" t="n">
        <v>0</v>
      </c>
      <c r="S180" s="12" t="n">
        <v>0</v>
      </c>
      <c r="T180" s="12" t="inlineStr">
        <is>
          <t>BSA</t>
        </is>
      </c>
      <c r="U180" s="12" t="inlineStr">
        <is>
          <t>BSA</t>
        </is>
      </c>
    </row>
    <row r="181">
      <c r="C181" s="12" t="inlineStr">
        <is>
          <t>BSA</t>
        </is>
      </c>
      <c r="D181" s="12" t="inlineStr">
        <is>
          <t>BSA</t>
        </is>
      </c>
      <c r="E181" s="12" t="inlineStr">
        <is>
          <t>당월</t>
        </is>
      </c>
      <c r="F181" s="12" t="inlineStr">
        <is>
          <t>5월 5주차</t>
        </is>
      </c>
      <c r="G181" s="12" t="inlineStr">
        <is>
          <t>네이버</t>
        </is>
      </c>
      <c r="H181" s="13" t="n">
        <v>45076</v>
      </c>
      <c r="I181" s="12" t="inlineStr">
        <is>
          <t>MO</t>
        </is>
      </c>
      <c r="J181" s="12" t="inlineStr">
        <is>
          <t>00.브랜드검색PCMO</t>
        </is>
      </c>
      <c r="K181" s="12" t="inlineStr">
        <is>
          <t>01.MO브랜드검색</t>
        </is>
      </c>
      <c r="L181" s="12" t="n"/>
      <c r="M181" s="12" t="n">
        <v>0</v>
      </c>
      <c r="N181" s="12" t="n">
        <v>0</v>
      </c>
      <c r="O181" s="12" t="n">
        <v>51333.33333333334</v>
      </c>
      <c r="P181" s="12" t="n">
        <v>0</v>
      </c>
      <c r="Q181" s="12" t="n">
        <v>0</v>
      </c>
      <c r="R181" s="12" t="n">
        <v>0</v>
      </c>
      <c r="S181" s="12" t="n">
        <v>0</v>
      </c>
      <c r="T181" s="12" t="inlineStr">
        <is>
          <t>BSA</t>
        </is>
      </c>
      <c r="U181" s="12" t="inlineStr">
        <is>
          <t>BSA</t>
        </is>
      </c>
    </row>
    <row r="182">
      <c r="C182" s="12" t="inlineStr">
        <is>
          <t>BSA</t>
        </is>
      </c>
      <c r="D182" s="12" t="inlineStr">
        <is>
          <t>BSA</t>
        </is>
      </c>
      <c r="E182" s="12" t="inlineStr">
        <is>
          <t>당월</t>
        </is>
      </c>
      <c r="F182" s="12" t="inlineStr">
        <is>
          <t>5월 5주차</t>
        </is>
      </c>
      <c r="G182" s="12" t="inlineStr">
        <is>
          <t>네이버</t>
        </is>
      </c>
      <c r="H182" s="13" t="n">
        <v>45077</v>
      </c>
      <c r="I182" s="12" t="inlineStr">
        <is>
          <t>PC</t>
        </is>
      </c>
      <c r="J182" s="12" t="inlineStr">
        <is>
          <t>00.브랜드검색PCMO</t>
        </is>
      </c>
      <c r="K182" s="12" t="inlineStr">
        <is>
          <t>01.PC브랜드검색</t>
        </is>
      </c>
      <c r="L182" s="12" t="n"/>
      <c r="M182" s="12" t="n">
        <v>0</v>
      </c>
      <c r="N182" s="12" t="n">
        <v>0</v>
      </c>
      <c r="O182" s="12" t="n">
        <v>36666.66666666666</v>
      </c>
      <c r="P182" s="12" t="n">
        <v>0</v>
      </c>
      <c r="Q182" s="12" t="n">
        <v>0</v>
      </c>
      <c r="R182" s="12" t="n">
        <v>0</v>
      </c>
      <c r="S182" s="12" t="n">
        <v>0</v>
      </c>
      <c r="T182" s="12" t="inlineStr">
        <is>
          <t>BSA</t>
        </is>
      </c>
      <c r="U182" s="12" t="inlineStr">
        <is>
          <t>BSA</t>
        </is>
      </c>
    </row>
    <row r="183">
      <c r="C183" s="12" t="inlineStr">
        <is>
          <t>BSA</t>
        </is>
      </c>
      <c r="D183" s="12" t="inlineStr">
        <is>
          <t>BSA</t>
        </is>
      </c>
      <c r="E183" s="12" t="inlineStr">
        <is>
          <t>당월</t>
        </is>
      </c>
      <c r="F183" s="12" t="inlineStr">
        <is>
          <t>5월 5주차</t>
        </is>
      </c>
      <c r="G183" s="12" t="inlineStr">
        <is>
          <t>네이버</t>
        </is>
      </c>
      <c r="H183" s="13" t="n">
        <v>45077</v>
      </c>
      <c r="I183" s="12" t="inlineStr">
        <is>
          <t>MO</t>
        </is>
      </c>
      <c r="J183" s="12" t="inlineStr">
        <is>
          <t>00.브랜드검색PCMO</t>
        </is>
      </c>
      <c r="K183" s="12" t="inlineStr">
        <is>
          <t>01.MO브랜드검색</t>
        </is>
      </c>
      <c r="L183" s="12" t="n"/>
      <c r="M183" s="12" t="n">
        <v>0</v>
      </c>
      <c r="N183" s="12" t="n">
        <v>0</v>
      </c>
      <c r="O183" s="12" t="n">
        <v>51333.33333333334</v>
      </c>
      <c r="P183" s="12" t="n">
        <v>0</v>
      </c>
      <c r="Q183" s="12" t="n">
        <v>0</v>
      </c>
      <c r="R183" s="12" t="n">
        <v>0</v>
      </c>
      <c r="S183" s="12" t="n">
        <v>0</v>
      </c>
      <c r="T183" s="12" t="inlineStr">
        <is>
          <t>BSA</t>
        </is>
      </c>
      <c r="U183" s="12" t="inlineStr">
        <is>
          <t>BSA</t>
        </is>
      </c>
    </row>
    <row r="187">
      <c r="C187" s="12" t="inlineStr">
        <is>
          <t>BSA</t>
        </is>
      </c>
      <c r="D187" s="12" t="inlineStr">
        <is>
          <t>BSA</t>
        </is>
      </c>
      <c r="E187" s="12" t="inlineStr">
        <is>
          <t>당월</t>
        </is>
      </c>
      <c r="F187" s="12" t="inlineStr">
        <is>
          <t>6월 1주차</t>
        </is>
      </c>
      <c r="G187" s="12" t="inlineStr">
        <is>
          <t>네이버</t>
        </is>
      </c>
      <c r="H187" s="13" t="n">
        <v>45078</v>
      </c>
      <c r="I187" s="12" t="inlineStr">
        <is>
          <t>PC</t>
        </is>
      </c>
      <c r="J187" s="12" t="inlineStr">
        <is>
          <t>00.브랜드검색PCMO</t>
        </is>
      </c>
      <c r="K187" s="12" t="inlineStr">
        <is>
          <t>01.PC브랜드검색</t>
        </is>
      </c>
      <c r="L187" s="12" t="n"/>
      <c r="M187" s="12" t="n">
        <v>0</v>
      </c>
      <c r="N187" s="12" t="n">
        <v>0</v>
      </c>
      <c r="O187" s="12" t="n">
        <v>36666.66666666666</v>
      </c>
      <c r="P187" s="12" t="n">
        <v>0</v>
      </c>
      <c r="Q187" s="12" t="n">
        <v>0</v>
      </c>
      <c r="R187" s="12" t="n">
        <v>0</v>
      </c>
      <c r="S187" s="12" t="n">
        <v>0</v>
      </c>
      <c r="T187" s="12" t="inlineStr">
        <is>
          <t>BSA</t>
        </is>
      </c>
      <c r="U187" s="12" t="inlineStr">
        <is>
          <t>BSA</t>
        </is>
      </c>
    </row>
    <row r="188">
      <c r="C188" s="12" t="inlineStr">
        <is>
          <t>BSA</t>
        </is>
      </c>
      <c r="D188" s="12" t="inlineStr">
        <is>
          <t>BSA</t>
        </is>
      </c>
      <c r="E188" s="12" t="inlineStr">
        <is>
          <t>당월</t>
        </is>
      </c>
      <c r="F188" s="12" t="inlineStr">
        <is>
          <t>6월 1주차</t>
        </is>
      </c>
      <c r="G188" s="12" t="inlineStr">
        <is>
          <t>네이버</t>
        </is>
      </c>
      <c r="H188" s="13" t="n">
        <v>45078</v>
      </c>
      <c r="I188" s="12" t="inlineStr">
        <is>
          <t>MO</t>
        </is>
      </c>
      <c r="J188" s="12" t="inlineStr">
        <is>
          <t>00.브랜드검색PCMO</t>
        </is>
      </c>
      <c r="K188" s="12" t="inlineStr">
        <is>
          <t>01.MO브랜드검색</t>
        </is>
      </c>
      <c r="L188" s="12" t="n"/>
      <c r="M188" s="12" t="n">
        <v>0</v>
      </c>
      <c r="N188" s="12" t="n">
        <v>0</v>
      </c>
      <c r="O188" s="12" t="n">
        <v>51333.33333333334</v>
      </c>
      <c r="P188" s="12" t="n">
        <v>0</v>
      </c>
      <c r="Q188" s="12" t="n">
        <v>0</v>
      </c>
      <c r="R188" s="12" t="n">
        <v>0</v>
      </c>
      <c r="S188" s="12" t="n">
        <v>0</v>
      </c>
      <c r="T188" s="12" t="inlineStr">
        <is>
          <t>BSA</t>
        </is>
      </c>
      <c r="U188" s="12" t="inlineStr">
        <is>
          <t>BSA</t>
        </is>
      </c>
    </row>
    <row r="189">
      <c r="C189" s="12" t="inlineStr">
        <is>
          <t>BSA</t>
        </is>
      </c>
      <c r="D189" s="12" t="inlineStr">
        <is>
          <t>BSA</t>
        </is>
      </c>
      <c r="E189" s="12" t="inlineStr">
        <is>
          <t>당월</t>
        </is>
      </c>
      <c r="F189" s="12" t="inlineStr">
        <is>
          <t>6월 1주차</t>
        </is>
      </c>
      <c r="G189" s="12" t="inlineStr">
        <is>
          <t>네이버</t>
        </is>
      </c>
      <c r="H189" s="13" t="n">
        <v>45079</v>
      </c>
      <c r="I189" s="12" t="inlineStr">
        <is>
          <t>PC</t>
        </is>
      </c>
      <c r="J189" s="12" t="inlineStr">
        <is>
          <t>00.브랜드검색PCMO</t>
        </is>
      </c>
      <c r="K189" s="12" t="inlineStr">
        <is>
          <t>01.PC브랜드검색</t>
        </is>
      </c>
      <c r="L189" s="12" t="n"/>
      <c r="M189" s="12" t="n">
        <v>0</v>
      </c>
      <c r="N189" s="12" t="n">
        <v>0</v>
      </c>
      <c r="O189" s="12" t="n">
        <v>36666.66666666666</v>
      </c>
      <c r="P189" s="12" t="n">
        <v>0</v>
      </c>
      <c r="Q189" s="12" t="n">
        <v>0</v>
      </c>
      <c r="R189" s="12" t="n">
        <v>0</v>
      </c>
      <c r="S189" s="12" t="n">
        <v>0</v>
      </c>
      <c r="T189" s="12" t="inlineStr">
        <is>
          <t>BSA</t>
        </is>
      </c>
      <c r="U189" s="12" t="inlineStr">
        <is>
          <t>BSA</t>
        </is>
      </c>
    </row>
    <row r="190">
      <c r="C190" s="12" t="inlineStr">
        <is>
          <t>BSA</t>
        </is>
      </c>
      <c r="D190" s="12" t="inlineStr">
        <is>
          <t>BSA</t>
        </is>
      </c>
      <c r="E190" s="12" t="inlineStr">
        <is>
          <t>당월</t>
        </is>
      </c>
      <c r="F190" s="12" t="inlineStr">
        <is>
          <t>6월 1주차</t>
        </is>
      </c>
      <c r="G190" s="12" t="inlineStr">
        <is>
          <t>네이버</t>
        </is>
      </c>
      <c r="H190" s="13" t="n">
        <v>45079</v>
      </c>
      <c r="I190" s="12" t="inlineStr">
        <is>
          <t>MO</t>
        </is>
      </c>
      <c r="J190" s="12" t="inlineStr">
        <is>
          <t>00.브랜드검색PCMO</t>
        </is>
      </c>
      <c r="K190" s="12" t="inlineStr">
        <is>
          <t>01.MO브랜드검색</t>
        </is>
      </c>
      <c r="L190" s="12" t="n"/>
      <c r="M190" s="12" t="n">
        <v>0</v>
      </c>
      <c r="N190" s="12" t="n">
        <v>0</v>
      </c>
      <c r="O190" s="12" t="n">
        <v>51333.33333333334</v>
      </c>
      <c r="P190" s="12" t="n">
        <v>0</v>
      </c>
      <c r="Q190" s="12" t="n">
        <v>0</v>
      </c>
      <c r="R190" s="12" t="n">
        <v>0</v>
      </c>
      <c r="S190" s="12" t="n">
        <v>0</v>
      </c>
      <c r="T190" s="12" t="inlineStr">
        <is>
          <t>BSA</t>
        </is>
      </c>
      <c r="U190" s="12" t="inlineStr">
        <is>
          <t>BSA</t>
        </is>
      </c>
    </row>
    <row r="191">
      <c r="C191" s="12" t="inlineStr">
        <is>
          <t>BSA</t>
        </is>
      </c>
      <c r="D191" s="12" t="inlineStr">
        <is>
          <t>BSA</t>
        </is>
      </c>
      <c r="E191" s="12" t="inlineStr">
        <is>
          <t>당월</t>
        </is>
      </c>
      <c r="F191" s="12" t="inlineStr">
        <is>
          <t>6월 1주차</t>
        </is>
      </c>
      <c r="G191" s="12" t="inlineStr">
        <is>
          <t>네이버</t>
        </is>
      </c>
      <c r="H191" s="13" t="n">
        <v>45080</v>
      </c>
      <c r="I191" s="12" t="inlineStr">
        <is>
          <t>PC</t>
        </is>
      </c>
      <c r="J191" s="12" t="inlineStr">
        <is>
          <t>00.브랜드검색PCMO</t>
        </is>
      </c>
      <c r="K191" s="12" t="inlineStr">
        <is>
          <t>01.PC브랜드검색</t>
        </is>
      </c>
      <c r="L191" s="12" t="n"/>
      <c r="M191" s="12" t="n">
        <v>0</v>
      </c>
      <c r="N191" s="12" t="n">
        <v>0</v>
      </c>
      <c r="O191" s="12" t="n">
        <v>36666.66666666666</v>
      </c>
      <c r="P191" s="12" t="n">
        <v>0</v>
      </c>
      <c r="Q191" s="12" t="n">
        <v>0</v>
      </c>
      <c r="R191" s="12" t="n">
        <v>0</v>
      </c>
      <c r="S191" s="12" t="n">
        <v>0</v>
      </c>
      <c r="T191" s="12" t="inlineStr">
        <is>
          <t>BSA</t>
        </is>
      </c>
      <c r="U191" s="12" t="inlineStr">
        <is>
          <t>BSA</t>
        </is>
      </c>
    </row>
    <row r="192">
      <c r="C192" s="12" t="inlineStr">
        <is>
          <t>BSA</t>
        </is>
      </c>
      <c r="D192" s="12" t="inlineStr">
        <is>
          <t>BSA</t>
        </is>
      </c>
      <c r="E192" s="12" t="inlineStr">
        <is>
          <t>당월</t>
        </is>
      </c>
      <c r="F192" s="12" t="inlineStr">
        <is>
          <t>6월 1주차</t>
        </is>
      </c>
      <c r="G192" s="12" t="inlineStr">
        <is>
          <t>네이버</t>
        </is>
      </c>
      <c r="H192" s="13" t="n">
        <v>45080</v>
      </c>
      <c r="I192" s="12" t="inlineStr">
        <is>
          <t>MO</t>
        </is>
      </c>
      <c r="J192" s="12" t="inlineStr">
        <is>
          <t>00.브랜드검색PCMO</t>
        </is>
      </c>
      <c r="K192" s="12" t="inlineStr">
        <is>
          <t>01.MO브랜드검색</t>
        </is>
      </c>
      <c r="L192" s="12" t="n"/>
      <c r="M192" s="12" t="n">
        <v>0</v>
      </c>
      <c r="N192" s="12" t="n">
        <v>0</v>
      </c>
      <c r="O192" s="12" t="n">
        <v>51333.33333333334</v>
      </c>
      <c r="P192" s="12" t="n">
        <v>0</v>
      </c>
      <c r="Q192" s="12" t="n">
        <v>0</v>
      </c>
      <c r="R192" s="12" t="n">
        <v>0</v>
      </c>
      <c r="S192" s="12" t="n">
        <v>0</v>
      </c>
      <c r="T192" s="12" t="inlineStr">
        <is>
          <t>BSA</t>
        </is>
      </c>
      <c r="U192" s="12" t="inlineStr">
        <is>
          <t>BSA</t>
        </is>
      </c>
    </row>
    <row r="193">
      <c r="C193" s="12" t="inlineStr">
        <is>
          <t>BSA</t>
        </is>
      </c>
      <c r="D193" s="12" t="inlineStr">
        <is>
          <t>BSA</t>
        </is>
      </c>
      <c r="E193" s="12" t="inlineStr">
        <is>
          <t>당월</t>
        </is>
      </c>
      <c r="F193" s="12" t="inlineStr">
        <is>
          <t>6월 1주차</t>
        </is>
      </c>
      <c r="G193" s="12" t="inlineStr">
        <is>
          <t>네이버</t>
        </is>
      </c>
      <c r="H193" s="13" t="n">
        <v>45081</v>
      </c>
      <c r="I193" s="12" t="inlineStr">
        <is>
          <t>PC</t>
        </is>
      </c>
      <c r="J193" s="12" t="inlineStr">
        <is>
          <t>00.브랜드검색PCMO</t>
        </is>
      </c>
      <c r="K193" s="12" t="inlineStr">
        <is>
          <t>01.PC브랜드검색</t>
        </is>
      </c>
      <c r="L193" s="12" t="n"/>
      <c r="M193" s="12" t="n">
        <v>0</v>
      </c>
      <c r="N193" s="12" t="n">
        <v>0</v>
      </c>
      <c r="O193" s="12" t="n">
        <v>36666.66666666666</v>
      </c>
      <c r="P193" s="12" t="n">
        <v>0</v>
      </c>
      <c r="Q193" s="12" t="n">
        <v>0</v>
      </c>
      <c r="R193" s="12" t="n">
        <v>0</v>
      </c>
      <c r="S193" s="12" t="n">
        <v>0</v>
      </c>
      <c r="T193" s="12" t="inlineStr">
        <is>
          <t>BSA</t>
        </is>
      </c>
      <c r="U193" s="12" t="inlineStr">
        <is>
          <t>BSA</t>
        </is>
      </c>
    </row>
    <row r="194">
      <c r="C194" s="12" t="inlineStr">
        <is>
          <t>BSA</t>
        </is>
      </c>
      <c r="D194" s="12" t="inlineStr">
        <is>
          <t>BSA</t>
        </is>
      </c>
      <c r="E194" s="12" t="inlineStr">
        <is>
          <t>당월</t>
        </is>
      </c>
      <c r="F194" s="12" t="inlineStr">
        <is>
          <t>6월 1주차</t>
        </is>
      </c>
      <c r="G194" s="12" t="inlineStr">
        <is>
          <t>네이버</t>
        </is>
      </c>
      <c r="H194" s="13" t="n">
        <v>45081</v>
      </c>
      <c r="I194" s="12" t="inlineStr">
        <is>
          <t>MO</t>
        </is>
      </c>
      <c r="J194" s="12" t="inlineStr">
        <is>
          <t>00.브랜드검색PCMO</t>
        </is>
      </c>
      <c r="K194" s="12" t="inlineStr">
        <is>
          <t>01.MO브랜드검색</t>
        </is>
      </c>
      <c r="L194" s="12" t="n"/>
      <c r="M194" s="12" t="n">
        <v>0</v>
      </c>
      <c r="N194" s="12" t="n">
        <v>0</v>
      </c>
      <c r="O194" s="12" t="n">
        <v>51333.33333333334</v>
      </c>
      <c r="P194" s="12" t="n">
        <v>0</v>
      </c>
      <c r="Q194" s="12" t="n">
        <v>0</v>
      </c>
      <c r="R194" s="12" t="n">
        <v>0</v>
      </c>
      <c r="S194" s="12" t="n">
        <v>0</v>
      </c>
      <c r="T194" s="12" t="inlineStr">
        <is>
          <t>BSA</t>
        </is>
      </c>
      <c r="U194" s="12" t="inlineStr">
        <is>
          <t>BSA</t>
        </is>
      </c>
    </row>
    <row r="196">
      <c r="C196" s="12" t="inlineStr">
        <is>
          <t>BSA</t>
        </is>
      </c>
      <c r="D196" s="12" t="inlineStr">
        <is>
          <t>BSA</t>
        </is>
      </c>
      <c r="E196" s="12" t="inlineStr">
        <is>
          <t>당월</t>
        </is>
      </c>
      <c r="F196" s="12" t="inlineStr">
        <is>
          <t>6월 2주차</t>
        </is>
      </c>
      <c r="G196" s="12" t="inlineStr">
        <is>
          <t>네이버</t>
        </is>
      </c>
      <c r="H196" s="13" t="n">
        <v>45082</v>
      </c>
      <c r="I196" s="12" t="inlineStr">
        <is>
          <t>PC</t>
        </is>
      </c>
      <c r="J196" s="12" t="inlineStr">
        <is>
          <t>00.브랜드검색PCMO</t>
        </is>
      </c>
      <c r="K196" s="12" t="inlineStr">
        <is>
          <t>01.PC브랜드검색</t>
        </is>
      </c>
      <c r="L196" s="12" t="n"/>
      <c r="M196" s="12" t="n">
        <v>0</v>
      </c>
      <c r="N196" s="12" t="n">
        <v>0</v>
      </c>
      <c r="O196" s="12" t="n">
        <v>36666.66666666666</v>
      </c>
      <c r="P196" s="12" t="n">
        <v>0</v>
      </c>
      <c r="Q196" s="12" t="n">
        <v>0</v>
      </c>
      <c r="R196" s="12" t="n">
        <v>0</v>
      </c>
      <c r="S196" s="12" t="n">
        <v>0</v>
      </c>
      <c r="T196" s="12" t="inlineStr">
        <is>
          <t>BSA</t>
        </is>
      </c>
      <c r="U196" s="12" t="inlineStr">
        <is>
          <t>BSA</t>
        </is>
      </c>
    </row>
    <row r="197">
      <c r="C197" s="12" t="inlineStr">
        <is>
          <t>BSA</t>
        </is>
      </c>
      <c r="D197" s="12" t="inlineStr">
        <is>
          <t>BSA</t>
        </is>
      </c>
      <c r="E197" s="12" t="inlineStr">
        <is>
          <t>당월</t>
        </is>
      </c>
      <c r="F197" s="12" t="inlineStr">
        <is>
          <t>6월 2주차</t>
        </is>
      </c>
      <c r="G197" s="12" t="inlineStr">
        <is>
          <t>네이버</t>
        </is>
      </c>
      <c r="H197" s="13" t="n">
        <v>45082</v>
      </c>
      <c r="I197" s="12" t="inlineStr">
        <is>
          <t>MO</t>
        </is>
      </c>
      <c r="J197" s="12" t="inlineStr">
        <is>
          <t>00.브랜드검색PCMO</t>
        </is>
      </c>
      <c r="K197" s="12" t="inlineStr">
        <is>
          <t>01.MO브랜드검색</t>
        </is>
      </c>
      <c r="L197" s="12" t="n"/>
      <c r="M197" s="12" t="n">
        <v>0</v>
      </c>
      <c r="N197" s="12" t="n">
        <v>0</v>
      </c>
      <c r="O197" s="12" t="n">
        <v>51333.33333333334</v>
      </c>
      <c r="P197" s="12" t="n">
        <v>0</v>
      </c>
      <c r="Q197" s="12" t="n">
        <v>0</v>
      </c>
      <c r="R197" s="12" t="n">
        <v>0</v>
      </c>
      <c r="S197" s="12" t="n">
        <v>0</v>
      </c>
      <c r="T197" s="12" t="inlineStr">
        <is>
          <t>BSA</t>
        </is>
      </c>
      <c r="U197" s="12" t="inlineStr">
        <is>
          <t>BSA</t>
        </is>
      </c>
    </row>
    <row r="198">
      <c r="C198" s="12" t="inlineStr">
        <is>
          <t>BSA</t>
        </is>
      </c>
      <c r="D198" s="12" t="inlineStr">
        <is>
          <t>BSA</t>
        </is>
      </c>
      <c r="E198" s="12" t="inlineStr">
        <is>
          <t>당월</t>
        </is>
      </c>
      <c r="F198" s="12" t="inlineStr">
        <is>
          <t>6월 2주차</t>
        </is>
      </c>
      <c r="G198" s="12" t="inlineStr">
        <is>
          <t>네이버</t>
        </is>
      </c>
      <c r="H198" s="13" t="n">
        <v>45083</v>
      </c>
      <c r="I198" s="12" t="inlineStr">
        <is>
          <t>PC</t>
        </is>
      </c>
      <c r="J198" s="12" t="inlineStr">
        <is>
          <t>00.브랜드검색PCMO</t>
        </is>
      </c>
      <c r="K198" s="12" t="inlineStr">
        <is>
          <t>01.PC브랜드검색</t>
        </is>
      </c>
      <c r="L198" s="12" t="n"/>
      <c r="M198" s="12" t="n">
        <v>0</v>
      </c>
      <c r="N198" s="12" t="n">
        <v>0</v>
      </c>
      <c r="O198" s="12" t="n">
        <v>36666.66666666666</v>
      </c>
      <c r="P198" s="12" t="n">
        <v>0</v>
      </c>
      <c r="Q198" s="12" t="n">
        <v>0</v>
      </c>
      <c r="R198" s="12" t="n">
        <v>0</v>
      </c>
      <c r="S198" s="12" t="n">
        <v>0</v>
      </c>
      <c r="T198" s="12" t="inlineStr">
        <is>
          <t>BSA</t>
        </is>
      </c>
      <c r="U198" s="12" t="inlineStr">
        <is>
          <t>BSA</t>
        </is>
      </c>
    </row>
    <row r="199">
      <c r="C199" s="12" t="inlineStr">
        <is>
          <t>BSA</t>
        </is>
      </c>
      <c r="D199" s="12" t="inlineStr">
        <is>
          <t>BSA</t>
        </is>
      </c>
      <c r="E199" s="12" t="inlineStr">
        <is>
          <t>당월</t>
        </is>
      </c>
      <c r="F199" s="12" t="inlineStr">
        <is>
          <t>6월 2주차</t>
        </is>
      </c>
      <c r="G199" s="12" t="inlineStr">
        <is>
          <t>네이버</t>
        </is>
      </c>
      <c r="H199" s="13" t="n">
        <v>45083</v>
      </c>
      <c r="I199" s="12" t="inlineStr">
        <is>
          <t>MO</t>
        </is>
      </c>
      <c r="J199" s="12" t="inlineStr">
        <is>
          <t>00.브랜드검색PCMO</t>
        </is>
      </c>
      <c r="K199" s="12" t="inlineStr">
        <is>
          <t>01.MO브랜드검색</t>
        </is>
      </c>
      <c r="L199" s="12" t="n"/>
      <c r="M199" s="12" t="n">
        <v>0</v>
      </c>
      <c r="N199" s="12" t="n">
        <v>0</v>
      </c>
      <c r="O199" s="12" t="n">
        <v>51333.33333333334</v>
      </c>
      <c r="P199" s="12" t="n">
        <v>0</v>
      </c>
      <c r="Q199" s="12" t="n">
        <v>0</v>
      </c>
      <c r="R199" s="12" t="n">
        <v>0</v>
      </c>
      <c r="S199" s="12" t="n">
        <v>0</v>
      </c>
      <c r="T199" s="12" t="inlineStr">
        <is>
          <t>BSA</t>
        </is>
      </c>
      <c r="U199" s="12" t="inlineStr">
        <is>
          <t>BSA</t>
        </is>
      </c>
    </row>
    <row r="200">
      <c r="C200" s="12" t="inlineStr">
        <is>
          <t>BSA</t>
        </is>
      </c>
      <c r="D200" s="12" t="inlineStr">
        <is>
          <t>BSA</t>
        </is>
      </c>
      <c r="E200" s="12" t="inlineStr">
        <is>
          <t>당월</t>
        </is>
      </c>
      <c r="F200" s="12" t="inlineStr">
        <is>
          <t>6월 2주차</t>
        </is>
      </c>
      <c r="G200" s="12" t="inlineStr">
        <is>
          <t>네이버</t>
        </is>
      </c>
      <c r="H200" s="13" t="n">
        <v>45084</v>
      </c>
      <c r="I200" s="12" t="inlineStr">
        <is>
          <t>PC</t>
        </is>
      </c>
      <c r="J200" s="12" t="inlineStr">
        <is>
          <t>00.브랜드검색PCMO</t>
        </is>
      </c>
      <c r="K200" s="12" t="inlineStr">
        <is>
          <t>01.PC브랜드검색</t>
        </is>
      </c>
      <c r="L200" s="12" t="n"/>
      <c r="M200" s="12" t="n">
        <v>0</v>
      </c>
      <c r="N200" s="12" t="n">
        <v>0</v>
      </c>
      <c r="O200" s="12" t="n">
        <v>36666.66666666666</v>
      </c>
      <c r="P200" s="12" t="n">
        <v>0</v>
      </c>
      <c r="Q200" s="12" t="n">
        <v>0</v>
      </c>
      <c r="R200" s="12" t="n">
        <v>0</v>
      </c>
      <c r="S200" s="12" t="n">
        <v>0</v>
      </c>
      <c r="T200" s="12" t="inlineStr">
        <is>
          <t>BSA</t>
        </is>
      </c>
      <c r="U200" s="12" t="inlineStr">
        <is>
          <t>BSA</t>
        </is>
      </c>
    </row>
    <row r="201">
      <c r="C201" s="12" t="inlineStr">
        <is>
          <t>BSA</t>
        </is>
      </c>
      <c r="D201" s="12" t="inlineStr">
        <is>
          <t>BSA</t>
        </is>
      </c>
      <c r="E201" s="12" t="inlineStr">
        <is>
          <t>당월</t>
        </is>
      </c>
      <c r="F201" s="12" t="inlineStr">
        <is>
          <t>6월 2주차</t>
        </is>
      </c>
      <c r="G201" s="12" t="inlineStr">
        <is>
          <t>네이버</t>
        </is>
      </c>
      <c r="H201" s="13" t="n">
        <v>45084</v>
      </c>
      <c r="I201" s="12" t="inlineStr">
        <is>
          <t>MO</t>
        </is>
      </c>
      <c r="J201" s="12" t="inlineStr">
        <is>
          <t>00.브랜드검색PCMO</t>
        </is>
      </c>
      <c r="K201" s="12" t="inlineStr">
        <is>
          <t>01.MO브랜드검색</t>
        </is>
      </c>
      <c r="L201" s="12" t="n"/>
      <c r="M201" s="12" t="n">
        <v>0</v>
      </c>
      <c r="N201" s="12" t="n">
        <v>0</v>
      </c>
      <c r="O201" s="12" t="n">
        <v>51333.33333333334</v>
      </c>
      <c r="P201" s="12" t="n">
        <v>0</v>
      </c>
      <c r="Q201" s="12" t="n">
        <v>0</v>
      </c>
      <c r="R201" s="12" t="n">
        <v>0</v>
      </c>
      <c r="S201" s="12" t="n">
        <v>0</v>
      </c>
      <c r="T201" s="12" t="inlineStr">
        <is>
          <t>BSA</t>
        </is>
      </c>
      <c r="U201" s="12" t="inlineStr">
        <is>
          <t>BSA</t>
        </is>
      </c>
    </row>
    <row r="202">
      <c r="C202" s="12" t="inlineStr">
        <is>
          <t>BSA</t>
        </is>
      </c>
      <c r="D202" s="12" t="inlineStr">
        <is>
          <t>BSA</t>
        </is>
      </c>
      <c r="E202" s="12" t="inlineStr">
        <is>
          <t>당월</t>
        </is>
      </c>
      <c r="F202" s="12" t="inlineStr">
        <is>
          <t>6월 2주차</t>
        </is>
      </c>
      <c r="G202" s="12" t="inlineStr">
        <is>
          <t>네이버</t>
        </is>
      </c>
      <c r="H202" s="13" t="n">
        <v>45085</v>
      </c>
      <c r="I202" s="12" t="inlineStr">
        <is>
          <t>PC</t>
        </is>
      </c>
      <c r="J202" s="12" t="inlineStr">
        <is>
          <t>00.브랜드검색PCMO</t>
        </is>
      </c>
      <c r="K202" s="12" t="inlineStr">
        <is>
          <t>01.PC브랜드검색</t>
        </is>
      </c>
      <c r="L202" s="12" t="n"/>
      <c r="M202" s="12" t="n">
        <v>0</v>
      </c>
      <c r="N202" s="12" t="n">
        <v>0</v>
      </c>
      <c r="O202" s="12" t="n">
        <v>36666.66666666666</v>
      </c>
      <c r="P202" s="12" t="n">
        <v>0</v>
      </c>
      <c r="Q202" s="12" t="n">
        <v>0</v>
      </c>
      <c r="R202" s="12" t="n">
        <v>0</v>
      </c>
      <c r="S202" s="12" t="n">
        <v>0</v>
      </c>
      <c r="T202" s="12" t="inlineStr">
        <is>
          <t>BSA</t>
        </is>
      </c>
      <c r="U202" s="12" t="inlineStr">
        <is>
          <t>BSA</t>
        </is>
      </c>
    </row>
    <row r="203">
      <c r="C203" s="12" t="inlineStr">
        <is>
          <t>BSA</t>
        </is>
      </c>
      <c r="D203" s="12" t="inlineStr">
        <is>
          <t>BSA</t>
        </is>
      </c>
      <c r="E203" s="12" t="inlineStr">
        <is>
          <t>당월</t>
        </is>
      </c>
      <c r="F203" s="12" t="inlineStr">
        <is>
          <t>6월 2주차</t>
        </is>
      </c>
      <c r="G203" s="12" t="inlineStr">
        <is>
          <t>네이버</t>
        </is>
      </c>
      <c r="H203" s="13" t="n">
        <v>45085</v>
      </c>
      <c r="I203" s="12" t="inlineStr">
        <is>
          <t>MO</t>
        </is>
      </c>
      <c r="J203" s="12" t="inlineStr">
        <is>
          <t>00.브랜드검색PCMO</t>
        </is>
      </c>
      <c r="K203" s="12" t="inlineStr">
        <is>
          <t>01.MO브랜드검색</t>
        </is>
      </c>
      <c r="L203" s="12" t="n"/>
      <c r="M203" s="12" t="n">
        <v>0</v>
      </c>
      <c r="N203" s="12" t="n">
        <v>0</v>
      </c>
      <c r="O203" s="12" t="n">
        <v>51333.33333333334</v>
      </c>
      <c r="P203" s="12" t="n">
        <v>0</v>
      </c>
      <c r="Q203" s="12" t="n">
        <v>0</v>
      </c>
      <c r="R203" s="12" t="n">
        <v>0</v>
      </c>
      <c r="S203" s="12" t="n">
        <v>0</v>
      </c>
      <c r="T203" s="12" t="inlineStr">
        <is>
          <t>BSA</t>
        </is>
      </c>
      <c r="U203" s="12" t="inlineStr">
        <is>
          <t>BSA</t>
        </is>
      </c>
    </row>
    <row r="204">
      <c r="C204" s="12" t="inlineStr">
        <is>
          <t>BSA</t>
        </is>
      </c>
      <c r="D204" s="12" t="inlineStr">
        <is>
          <t>BSA</t>
        </is>
      </c>
      <c r="E204" s="12" t="inlineStr">
        <is>
          <t>당월</t>
        </is>
      </c>
      <c r="F204" s="12" t="inlineStr">
        <is>
          <t>6월 2주차</t>
        </is>
      </c>
      <c r="G204" s="12" t="inlineStr">
        <is>
          <t>네이버</t>
        </is>
      </c>
      <c r="H204" s="13" t="n">
        <v>45086</v>
      </c>
      <c r="I204" s="12" t="inlineStr">
        <is>
          <t>PC</t>
        </is>
      </c>
      <c r="J204" s="12" t="inlineStr">
        <is>
          <t>00.브랜드검색PCMO</t>
        </is>
      </c>
      <c r="K204" s="12" t="inlineStr">
        <is>
          <t>01.PC브랜드검색</t>
        </is>
      </c>
      <c r="L204" s="12" t="n"/>
      <c r="M204" s="12" t="n">
        <v>0</v>
      </c>
      <c r="N204" s="12" t="n">
        <v>0</v>
      </c>
      <c r="O204" s="12" t="n">
        <v>36666.66666666666</v>
      </c>
      <c r="P204" s="12" t="n">
        <v>0</v>
      </c>
      <c r="Q204" s="12" t="n">
        <v>0</v>
      </c>
      <c r="R204" s="12" t="n">
        <v>0</v>
      </c>
      <c r="S204" s="12" t="n">
        <v>0</v>
      </c>
      <c r="T204" s="12" t="inlineStr">
        <is>
          <t>BSA</t>
        </is>
      </c>
      <c r="U204" s="12" t="inlineStr">
        <is>
          <t>BSA</t>
        </is>
      </c>
    </row>
    <row r="205">
      <c r="C205" s="12" t="inlineStr">
        <is>
          <t>BSA</t>
        </is>
      </c>
      <c r="D205" s="12" t="inlineStr">
        <is>
          <t>BSA</t>
        </is>
      </c>
      <c r="E205" s="12" t="inlineStr">
        <is>
          <t>당월</t>
        </is>
      </c>
      <c r="F205" s="12" t="inlineStr">
        <is>
          <t>6월 2주차</t>
        </is>
      </c>
      <c r="G205" s="12" t="inlineStr">
        <is>
          <t>네이버</t>
        </is>
      </c>
      <c r="H205" s="13" t="n">
        <v>45086</v>
      </c>
      <c r="I205" s="12" t="inlineStr">
        <is>
          <t>MO</t>
        </is>
      </c>
      <c r="J205" s="12" t="inlineStr">
        <is>
          <t>00.브랜드검색PCMO</t>
        </is>
      </c>
      <c r="K205" s="12" t="inlineStr">
        <is>
          <t>01.MO브랜드검색</t>
        </is>
      </c>
      <c r="L205" s="12" t="n"/>
      <c r="M205" s="12" t="n">
        <v>0</v>
      </c>
      <c r="N205" s="12" t="n">
        <v>0</v>
      </c>
      <c r="O205" s="12" t="n">
        <v>51333.33333333334</v>
      </c>
      <c r="P205" s="12" t="n">
        <v>0</v>
      </c>
      <c r="Q205" s="12" t="n">
        <v>0</v>
      </c>
      <c r="R205" s="12" t="n">
        <v>0</v>
      </c>
      <c r="S205" s="12" t="n">
        <v>0</v>
      </c>
      <c r="T205" s="12" t="inlineStr">
        <is>
          <t>BSA</t>
        </is>
      </c>
      <c r="U205" s="12" t="inlineStr">
        <is>
          <t>BSA</t>
        </is>
      </c>
    </row>
    <row r="206">
      <c r="C206" s="12" t="inlineStr">
        <is>
          <t>BSA</t>
        </is>
      </c>
      <c r="D206" s="12" t="inlineStr">
        <is>
          <t>BSA</t>
        </is>
      </c>
      <c r="E206" s="12" t="inlineStr">
        <is>
          <t>당월</t>
        </is>
      </c>
      <c r="F206" s="12" t="inlineStr">
        <is>
          <t>6월 2주차</t>
        </is>
      </c>
      <c r="G206" s="12" t="inlineStr">
        <is>
          <t>네이버</t>
        </is>
      </c>
      <c r="H206" s="13" t="n">
        <v>45087</v>
      </c>
      <c r="I206" s="12" t="inlineStr">
        <is>
          <t>PC</t>
        </is>
      </c>
      <c r="J206" s="12" t="inlineStr">
        <is>
          <t>00.브랜드검색PCMO</t>
        </is>
      </c>
      <c r="K206" s="12" t="inlineStr">
        <is>
          <t>01.PC브랜드검색</t>
        </is>
      </c>
      <c r="L206" s="12" t="n"/>
      <c r="M206" s="12" t="n">
        <v>0</v>
      </c>
      <c r="N206" s="12" t="n">
        <v>0</v>
      </c>
      <c r="O206" s="12" t="n">
        <v>36666.66666666666</v>
      </c>
      <c r="P206" s="12" t="n">
        <v>0</v>
      </c>
      <c r="Q206" s="12" t="n">
        <v>0</v>
      </c>
      <c r="R206" s="12" t="n">
        <v>0</v>
      </c>
      <c r="S206" s="12" t="n">
        <v>0</v>
      </c>
      <c r="T206" s="12" t="inlineStr">
        <is>
          <t>BSA</t>
        </is>
      </c>
      <c r="U206" s="12" t="inlineStr">
        <is>
          <t>BSA</t>
        </is>
      </c>
    </row>
    <row r="207">
      <c r="C207" s="12" t="inlineStr">
        <is>
          <t>BSA</t>
        </is>
      </c>
      <c r="D207" s="12" t="inlineStr">
        <is>
          <t>BSA</t>
        </is>
      </c>
      <c r="E207" s="12" t="inlineStr">
        <is>
          <t>당월</t>
        </is>
      </c>
      <c r="F207" s="12" t="inlineStr">
        <is>
          <t>6월 2주차</t>
        </is>
      </c>
      <c r="G207" s="12" t="inlineStr">
        <is>
          <t>네이버</t>
        </is>
      </c>
      <c r="H207" s="13" t="n">
        <v>45087</v>
      </c>
      <c r="I207" s="12" t="inlineStr">
        <is>
          <t>MO</t>
        </is>
      </c>
      <c r="J207" s="12" t="inlineStr">
        <is>
          <t>00.브랜드검색PCMO</t>
        </is>
      </c>
      <c r="K207" s="12" t="inlineStr">
        <is>
          <t>01.MO브랜드검색</t>
        </is>
      </c>
      <c r="L207" s="12" t="n"/>
      <c r="M207" s="12" t="n">
        <v>0</v>
      </c>
      <c r="N207" s="12" t="n">
        <v>0</v>
      </c>
      <c r="O207" s="12" t="n">
        <v>51333.33333333334</v>
      </c>
      <c r="P207" s="12" t="n">
        <v>0</v>
      </c>
      <c r="Q207" s="12" t="n">
        <v>0</v>
      </c>
      <c r="R207" s="12" t="n">
        <v>0</v>
      </c>
      <c r="S207" s="12" t="n">
        <v>0</v>
      </c>
      <c r="T207" s="12" t="inlineStr">
        <is>
          <t>BSA</t>
        </is>
      </c>
      <c r="U207" s="12" t="inlineStr">
        <is>
          <t>BSA</t>
        </is>
      </c>
    </row>
    <row r="208">
      <c r="C208" s="12" t="inlineStr">
        <is>
          <t>BSA</t>
        </is>
      </c>
      <c r="D208" s="12" t="inlineStr">
        <is>
          <t>BSA</t>
        </is>
      </c>
      <c r="E208" s="12" t="inlineStr">
        <is>
          <t>당월</t>
        </is>
      </c>
      <c r="F208" s="12" t="inlineStr">
        <is>
          <t>6월 2주차</t>
        </is>
      </c>
      <c r="G208" s="12" t="inlineStr">
        <is>
          <t>네이버</t>
        </is>
      </c>
      <c r="H208" s="13" t="n">
        <v>45088</v>
      </c>
      <c r="I208" s="12" t="inlineStr">
        <is>
          <t>PC</t>
        </is>
      </c>
      <c r="J208" s="12" t="inlineStr">
        <is>
          <t>00.브랜드검색PCMO</t>
        </is>
      </c>
      <c r="K208" s="12" t="inlineStr">
        <is>
          <t>01.PC브랜드검색</t>
        </is>
      </c>
      <c r="L208" s="12" t="n"/>
      <c r="M208" s="12" t="n">
        <v>0</v>
      </c>
      <c r="N208" s="12" t="n">
        <v>0</v>
      </c>
      <c r="O208" s="12" t="n">
        <v>36666.66666666666</v>
      </c>
      <c r="P208" s="12" t="n">
        <v>0</v>
      </c>
      <c r="Q208" s="12" t="n">
        <v>0</v>
      </c>
      <c r="R208" s="12" t="n">
        <v>0</v>
      </c>
      <c r="S208" s="12" t="n">
        <v>0</v>
      </c>
      <c r="T208" s="12" t="inlineStr">
        <is>
          <t>BSA</t>
        </is>
      </c>
      <c r="U208" s="12" t="inlineStr">
        <is>
          <t>BSA</t>
        </is>
      </c>
    </row>
    <row r="209">
      <c r="C209" s="12" t="inlineStr">
        <is>
          <t>BSA</t>
        </is>
      </c>
      <c r="D209" s="12" t="inlineStr">
        <is>
          <t>BSA</t>
        </is>
      </c>
      <c r="E209" s="12" t="inlineStr">
        <is>
          <t>당월</t>
        </is>
      </c>
      <c r="F209" s="12" t="inlineStr">
        <is>
          <t>6월 2주차</t>
        </is>
      </c>
      <c r="G209" s="12" t="inlineStr">
        <is>
          <t>네이버</t>
        </is>
      </c>
      <c r="H209" s="13" t="n">
        <v>45088</v>
      </c>
      <c r="I209" s="12" t="inlineStr">
        <is>
          <t>MO</t>
        </is>
      </c>
      <c r="J209" s="12" t="inlineStr">
        <is>
          <t>00.브랜드검색PCMO</t>
        </is>
      </c>
      <c r="K209" s="12" t="inlineStr">
        <is>
          <t>01.MO브랜드검색</t>
        </is>
      </c>
      <c r="L209" s="12" t="n"/>
      <c r="M209" s="12" t="n">
        <v>0</v>
      </c>
      <c r="N209" s="12" t="n">
        <v>0</v>
      </c>
      <c r="O209" s="12" t="n">
        <v>51333.33333333334</v>
      </c>
      <c r="P209" s="12" t="n">
        <v>0</v>
      </c>
      <c r="Q209" s="12" t="n">
        <v>0</v>
      </c>
      <c r="R209" s="12" t="n">
        <v>0</v>
      </c>
      <c r="S209" s="12" t="n">
        <v>0</v>
      </c>
      <c r="T209" s="12" t="inlineStr">
        <is>
          <t>BSA</t>
        </is>
      </c>
      <c r="U209" s="12" t="inlineStr">
        <is>
          <t>BSA</t>
        </is>
      </c>
    </row>
    <row r="210">
      <c r="H210" s="13" t="n"/>
    </row>
    <row r="211">
      <c r="H211" s="13" t="n"/>
    </row>
    <row r="212">
      <c r="H212" s="13" t="n"/>
    </row>
    <row r="213">
      <c r="H213" s="13" t="n"/>
    </row>
    <row r="214">
      <c r="C214" s="12" t="inlineStr">
        <is>
          <t>BSA</t>
        </is>
      </c>
      <c r="D214" s="12" t="inlineStr">
        <is>
          <t>BSA</t>
        </is>
      </c>
      <c r="E214" s="12" t="inlineStr">
        <is>
          <t>당월</t>
        </is>
      </c>
      <c r="F214" s="12" t="inlineStr">
        <is>
          <t>6월 4주차</t>
        </is>
      </c>
      <c r="G214" s="12" t="inlineStr">
        <is>
          <t>네이버</t>
        </is>
      </c>
      <c r="H214" s="13" t="n">
        <v>45096</v>
      </c>
      <c r="I214" s="12" t="inlineStr">
        <is>
          <t>PC</t>
        </is>
      </c>
      <c r="J214" s="12" t="inlineStr">
        <is>
          <t>00.브랜드검색PCMO</t>
        </is>
      </c>
      <c r="K214" s="12" t="inlineStr">
        <is>
          <t>01.PC브랜드검색</t>
        </is>
      </c>
      <c r="L214" s="12" t="n"/>
      <c r="M214" s="12" t="n">
        <v>0</v>
      </c>
      <c r="N214" s="12" t="n">
        <v>0</v>
      </c>
      <c r="O214" s="12" t="n">
        <v>36666.66666666666</v>
      </c>
      <c r="P214" s="12" t="n">
        <v>0</v>
      </c>
      <c r="Q214" s="12" t="n">
        <v>0</v>
      </c>
      <c r="R214" s="12" t="n">
        <v>0</v>
      </c>
      <c r="S214" s="12" t="n">
        <v>0</v>
      </c>
      <c r="T214" s="12" t="inlineStr">
        <is>
          <t>BSA</t>
        </is>
      </c>
      <c r="U214" s="12" t="inlineStr">
        <is>
          <t>BSA</t>
        </is>
      </c>
    </row>
    <row r="215">
      <c r="C215" s="12" t="inlineStr">
        <is>
          <t>BSA</t>
        </is>
      </c>
      <c r="D215" s="12" t="inlineStr">
        <is>
          <t>BSA</t>
        </is>
      </c>
      <c r="E215" s="12" t="inlineStr">
        <is>
          <t>당월</t>
        </is>
      </c>
      <c r="F215" s="12" t="inlineStr">
        <is>
          <t>6월 4주차</t>
        </is>
      </c>
      <c r="G215" s="12" t="inlineStr">
        <is>
          <t>네이버</t>
        </is>
      </c>
      <c r="H215" s="13" t="n">
        <v>45096</v>
      </c>
      <c r="I215" s="12" t="inlineStr">
        <is>
          <t>MO</t>
        </is>
      </c>
      <c r="J215" s="12" t="inlineStr">
        <is>
          <t>00.브랜드검색PCMO</t>
        </is>
      </c>
      <c r="K215" s="12" t="inlineStr">
        <is>
          <t>01.MO브랜드검색</t>
        </is>
      </c>
      <c r="L215" s="12" t="n"/>
      <c r="M215" s="12" t="n">
        <v>0</v>
      </c>
      <c r="N215" s="12" t="n">
        <v>0</v>
      </c>
      <c r="O215" s="12" t="n">
        <v>51333.33333333334</v>
      </c>
      <c r="P215" s="12" t="n">
        <v>0</v>
      </c>
      <c r="Q215" s="12" t="n">
        <v>0</v>
      </c>
      <c r="R215" s="12" t="n">
        <v>0</v>
      </c>
      <c r="S215" s="12" t="n">
        <v>0</v>
      </c>
      <c r="T215" s="12" t="inlineStr">
        <is>
          <t>BSA</t>
        </is>
      </c>
      <c r="U215" s="12" t="inlineStr">
        <is>
          <t>BSA</t>
        </is>
      </c>
    </row>
    <row r="216">
      <c r="C216" s="12" t="inlineStr">
        <is>
          <t>BSA</t>
        </is>
      </c>
      <c r="D216" s="12" t="inlineStr">
        <is>
          <t>BSA</t>
        </is>
      </c>
      <c r="E216" s="12" t="inlineStr">
        <is>
          <t>당월</t>
        </is>
      </c>
      <c r="F216" s="12" t="inlineStr">
        <is>
          <t>6월 4주차</t>
        </is>
      </c>
      <c r="G216" s="12" t="inlineStr">
        <is>
          <t>네이버</t>
        </is>
      </c>
      <c r="H216" s="13" t="n">
        <v>45097</v>
      </c>
      <c r="I216" s="12" t="inlineStr">
        <is>
          <t>PC</t>
        </is>
      </c>
      <c r="J216" s="12" t="inlineStr">
        <is>
          <t>00.브랜드검색PCMO</t>
        </is>
      </c>
      <c r="K216" s="12" t="inlineStr">
        <is>
          <t>01.PC브랜드검색</t>
        </is>
      </c>
      <c r="L216" s="12" t="n"/>
      <c r="M216" s="12" t="n">
        <v>0</v>
      </c>
      <c r="N216" s="12" t="n">
        <v>0</v>
      </c>
      <c r="O216" s="12" t="n">
        <v>36666.66666666666</v>
      </c>
      <c r="P216" s="12" t="n">
        <v>0</v>
      </c>
      <c r="Q216" s="12" t="n">
        <v>0</v>
      </c>
      <c r="R216" s="12" t="n">
        <v>0</v>
      </c>
      <c r="S216" s="12" t="n">
        <v>0</v>
      </c>
      <c r="T216" s="12" t="inlineStr">
        <is>
          <t>BSA</t>
        </is>
      </c>
      <c r="U216" s="12" t="inlineStr">
        <is>
          <t>BSA</t>
        </is>
      </c>
    </row>
    <row r="217">
      <c r="C217" s="12" t="inlineStr">
        <is>
          <t>BSA</t>
        </is>
      </c>
      <c r="D217" s="12" t="inlineStr">
        <is>
          <t>BSA</t>
        </is>
      </c>
      <c r="E217" s="12" t="inlineStr">
        <is>
          <t>당월</t>
        </is>
      </c>
      <c r="F217" s="12" t="inlineStr">
        <is>
          <t>6월 4주차</t>
        </is>
      </c>
      <c r="G217" s="12" t="inlineStr">
        <is>
          <t>네이버</t>
        </is>
      </c>
      <c r="H217" s="13" t="n">
        <v>45097</v>
      </c>
      <c r="I217" s="12" t="inlineStr">
        <is>
          <t>MO</t>
        </is>
      </c>
      <c r="J217" s="12" t="inlineStr">
        <is>
          <t>00.브랜드검색PCMO</t>
        </is>
      </c>
      <c r="K217" s="12" t="inlineStr">
        <is>
          <t>01.MO브랜드검색</t>
        </is>
      </c>
      <c r="L217" s="12" t="n"/>
      <c r="M217" s="12" t="n">
        <v>0</v>
      </c>
      <c r="N217" s="12" t="n">
        <v>0</v>
      </c>
      <c r="O217" s="12" t="n">
        <v>51333.33333333334</v>
      </c>
      <c r="P217" s="12" t="n">
        <v>0</v>
      </c>
      <c r="Q217" s="12" t="n">
        <v>0</v>
      </c>
      <c r="R217" s="12" t="n">
        <v>0</v>
      </c>
      <c r="S217" s="12" t="n">
        <v>0</v>
      </c>
      <c r="T217" s="12" t="inlineStr">
        <is>
          <t>BSA</t>
        </is>
      </c>
      <c r="U217" s="12" t="inlineStr">
        <is>
          <t>BSA</t>
        </is>
      </c>
    </row>
    <row r="218">
      <c r="C218" s="12" t="inlineStr">
        <is>
          <t>BSA</t>
        </is>
      </c>
      <c r="D218" s="12" t="inlineStr">
        <is>
          <t>BSA</t>
        </is>
      </c>
      <c r="E218" s="12" t="inlineStr">
        <is>
          <t>당월</t>
        </is>
      </c>
      <c r="F218" s="12" t="inlineStr">
        <is>
          <t>6월 4주차</t>
        </is>
      </c>
      <c r="G218" s="12" t="inlineStr">
        <is>
          <t>네이버</t>
        </is>
      </c>
      <c r="H218" s="13" t="n">
        <v>45098</v>
      </c>
      <c r="I218" s="12" t="inlineStr">
        <is>
          <t>PC</t>
        </is>
      </c>
      <c r="J218" s="12" t="inlineStr">
        <is>
          <t>00.브랜드검색PCMO</t>
        </is>
      </c>
      <c r="K218" s="12" t="inlineStr">
        <is>
          <t>01.PC브랜드검색</t>
        </is>
      </c>
      <c r="L218" s="12" t="n"/>
      <c r="M218" s="12" t="n">
        <v>0</v>
      </c>
      <c r="N218" s="12" t="n">
        <v>0</v>
      </c>
      <c r="O218" s="12" t="n">
        <v>36666.66666666666</v>
      </c>
      <c r="P218" s="12" t="n">
        <v>0</v>
      </c>
      <c r="Q218" s="12" t="n">
        <v>0</v>
      </c>
      <c r="R218" s="12" t="n">
        <v>0</v>
      </c>
      <c r="S218" s="12" t="n">
        <v>0</v>
      </c>
      <c r="T218" s="12" t="inlineStr">
        <is>
          <t>BSA</t>
        </is>
      </c>
      <c r="U218" s="12" t="inlineStr">
        <is>
          <t>BSA</t>
        </is>
      </c>
    </row>
    <row r="219">
      <c r="C219" s="12" t="inlineStr">
        <is>
          <t>BSA</t>
        </is>
      </c>
      <c r="D219" s="12" t="inlineStr">
        <is>
          <t>BSA</t>
        </is>
      </c>
      <c r="E219" s="12" t="inlineStr">
        <is>
          <t>당월</t>
        </is>
      </c>
      <c r="F219" s="12" t="inlineStr">
        <is>
          <t>6월 4주차</t>
        </is>
      </c>
      <c r="G219" s="12" t="inlineStr">
        <is>
          <t>네이버</t>
        </is>
      </c>
      <c r="H219" s="13" t="n">
        <v>45098</v>
      </c>
      <c r="I219" s="12" t="inlineStr">
        <is>
          <t>MO</t>
        </is>
      </c>
      <c r="J219" s="12" t="inlineStr">
        <is>
          <t>00.브랜드검색PCMO</t>
        </is>
      </c>
      <c r="K219" s="12" t="inlineStr">
        <is>
          <t>01.MO브랜드검색</t>
        </is>
      </c>
      <c r="L219" s="12" t="n"/>
      <c r="M219" s="12" t="n">
        <v>0</v>
      </c>
      <c r="N219" s="12" t="n">
        <v>0</v>
      </c>
      <c r="O219" s="12" t="n">
        <v>51333.33333333334</v>
      </c>
      <c r="P219" s="12" t="n">
        <v>0</v>
      </c>
      <c r="Q219" s="12" t="n">
        <v>0</v>
      </c>
      <c r="R219" s="12" t="n">
        <v>0</v>
      </c>
      <c r="S219" s="12" t="n">
        <v>0</v>
      </c>
      <c r="T219" s="12" t="inlineStr">
        <is>
          <t>BSA</t>
        </is>
      </c>
      <c r="U219" s="12" t="inlineStr">
        <is>
          <t>BSA</t>
        </is>
      </c>
    </row>
    <row r="220">
      <c r="C220" s="12" t="inlineStr">
        <is>
          <t>BSA</t>
        </is>
      </c>
      <c r="D220" s="12" t="inlineStr">
        <is>
          <t>BSA</t>
        </is>
      </c>
      <c r="E220" s="12" t="inlineStr">
        <is>
          <t>당월</t>
        </is>
      </c>
      <c r="F220" s="12" t="inlineStr">
        <is>
          <t>6월 4주차</t>
        </is>
      </c>
      <c r="G220" s="12" t="inlineStr">
        <is>
          <t>네이버</t>
        </is>
      </c>
      <c r="H220" s="13" t="n">
        <v>45099</v>
      </c>
      <c r="I220" s="12" t="inlineStr">
        <is>
          <t>PC</t>
        </is>
      </c>
      <c r="J220" s="12" t="inlineStr">
        <is>
          <t>00.브랜드검색PCMO</t>
        </is>
      </c>
      <c r="K220" s="12" t="inlineStr">
        <is>
          <t>01.PC브랜드검색</t>
        </is>
      </c>
      <c r="L220" s="12" t="n"/>
      <c r="M220" s="12" t="n">
        <v>0</v>
      </c>
      <c r="N220" s="12" t="n">
        <v>0</v>
      </c>
      <c r="O220" s="12" t="n">
        <v>36666.66666666666</v>
      </c>
      <c r="P220" s="12" t="n">
        <v>0</v>
      </c>
      <c r="Q220" s="12" t="n">
        <v>0</v>
      </c>
      <c r="R220" s="12" t="n">
        <v>0</v>
      </c>
      <c r="S220" s="12" t="n">
        <v>0</v>
      </c>
      <c r="T220" s="12" t="inlineStr">
        <is>
          <t>BSA</t>
        </is>
      </c>
      <c r="U220" s="12" t="inlineStr">
        <is>
          <t>BSA</t>
        </is>
      </c>
    </row>
    <row r="221">
      <c r="C221" s="12" t="inlineStr">
        <is>
          <t>BSA</t>
        </is>
      </c>
      <c r="D221" s="12" t="inlineStr">
        <is>
          <t>BSA</t>
        </is>
      </c>
      <c r="E221" s="12" t="inlineStr">
        <is>
          <t>당월</t>
        </is>
      </c>
      <c r="F221" s="12" t="inlineStr">
        <is>
          <t>6월 4주차</t>
        </is>
      </c>
      <c r="G221" s="12" t="inlineStr">
        <is>
          <t>네이버</t>
        </is>
      </c>
      <c r="H221" s="13" t="n">
        <v>45099</v>
      </c>
      <c r="I221" s="12" t="inlineStr">
        <is>
          <t>MO</t>
        </is>
      </c>
      <c r="J221" s="12" t="inlineStr">
        <is>
          <t>00.브랜드검색PCMO</t>
        </is>
      </c>
      <c r="K221" s="12" t="inlineStr">
        <is>
          <t>01.MO브랜드검색</t>
        </is>
      </c>
      <c r="L221" s="12" t="n"/>
      <c r="M221" s="12" t="n">
        <v>0</v>
      </c>
      <c r="N221" s="12" t="n">
        <v>0</v>
      </c>
      <c r="O221" s="12" t="n">
        <v>51333.33333333334</v>
      </c>
      <c r="P221" s="12" t="n">
        <v>0</v>
      </c>
      <c r="Q221" s="12" t="n">
        <v>0</v>
      </c>
      <c r="R221" s="12" t="n">
        <v>0</v>
      </c>
      <c r="S221" s="12" t="n">
        <v>0</v>
      </c>
      <c r="T221" s="12" t="inlineStr">
        <is>
          <t>BSA</t>
        </is>
      </c>
      <c r="U221" s="12" t="inlineStr">
        <is>
          <t>BSA</t>
        </is>
      </c>
    </row>
    <row r="222">
      <c r="C222" s="12" t="inlineStr">
        <is>
          <t>BSA</t>
        </is>
      </c>
      <c r="D222" s="12" t="inlineStr">
        <is>
          <t>BSA</t>
        </is>
      </c>
      <c r="E222" s="12" t="inlineStr">
        <is>
          <t>당월</t>
        </is>
      </c>
      <c r="F222" s="12" t="inlineStr">
        <is>
          <t>6월 4주차</t>
        </is>
      </c>
      <c r="G222" s="12" t="inlineStr">
        <is>
          <t>네이버</t>
        </is>
      </c>
      <c r="H222" s="13" t="n">
        <v>45100</v>
      </c>
      <c r="I222" s="12" t="inlineStr">
        <is>
          <t>PC</t>
        </is>
      </c>
      <c r="J222" s="12" t="inlineStr">
        <is>
          <t>00.브랜드검색PCMO</t>
        </is>
      </c>
      <c r="K222" s="12" t="inlineStr">
        <is>
          <t>01.PC브랜드검색</t>
        </is>
      </c>
      <c r="L222" s="12" t="n"/>
      <c r="M222" s="12" t="n">
        <v>0</v>
      </c>
      <c r="N222" s="12" t="n">
        <v>0</v>
      </c>
      <c r="O222" s="12" t="n">
        <v>36666.66666666666</v>
      </c>
      <c r="P222" s="12" t="n">
        <v>0</v>
      </c>
      <c r="Q222" s="12" t="n">
        <v>0</v>
      </c>
      <c r="R222" s="12" t="n">
        <v>0</v>
      </c>
      <c r="S222" s="12" t="n">
        <v>0</v>
      </c>
      <c r="T222" s="12" t="inlineStr">
        <is>
          <t>BSA</t>
        </is>
      </c>
      <c r="U222" s="12" t="inlineStr">
        <is>
          <t>BSA</t>
        </is>
      </c>
    </row>
    <row r="223">
      <c r="C223" s="12" t="inlineStr">
        <is>
          <t>BSA</t>
        </is>
      </c>
      <c r="D223" s="12" t="inlineStr">
        <is>
          <t>BSA</t>
        </is>
      </c>
      <c r="E223" s="12" t="inlineStr">
        <is>
          <t>당월</t>
        </is>
      </c>
      <c r="F223" s="12" t="inlineStr">
        <is>
          <t>6월 4주차</t>
        </is>
      </c>
      <c r="G223" s="12" t="inlineStr">
        <is>
          <t>네이버</t>
        </is>
      </c>
      <c r="H223" s="13" t="n">
        <v>45100</v>
      </c>
      <c r="I223" s="12" t="inlineStr">
        <is>
          <t>MO</t>
        </is>
      </c>
      <c r="J223" s="12" t="inlineStr">
        <is>
          <t>00.브랜드검색PCMO</t>
        </is>
      </c>
      <c r="K223" s="12" t="inlineStr">
        <is>
          <t>01.MO브랜드검색</t>
        </is>
      </c>
      <c r="L223" s="12" t="n"/>
      <c r="M223" s="12" t="n">
        <v>0</v>
      </c>
      <c r="N223" s="12" t="n">
        <v>0</v>
      </c>
      <c r="O223" s="12" t="n">
        <v>51333.33333333334</v>
      </c>
      <c r="P223" s="12" t="n">
        <v>0</v>
      </c>
      <c r="Q223" s="12" t="n">
        <v>0</v>
      </c>
      <c r="R223" s="12" t="n">
        <v>0</v>
      </c>
      <c r="S223" s="12" t="n">
        <v>0</v>
      </c>
      <c r="T223" s="12" t="inlineStr">
        <is>
          <t>BSA</t>
        </is>
      </c>
      <c r="U223" s="12" t="inlineStr">
        <is>
          <t>BSA</t>
        </is>
      </c>
    </row>
    <row r="224">
      <c r="C224" s="12" t="inlineStr">
        <is>
          <t>BSA</t>
        </is>
      </c>
      <c r="D224" s="12" t="inlineStr">
        <is>
          <t>BSA</t>
        </is>
      </c>
      <c r="E224" s="12" t="inlineStr">
        <is>
          <t>당월</t>
        </is>
      </c>
      <c r="F224" s="12" t="inlineStr">
        <is>
          <t>6월 4주차</t>
        </is>
      </c>
      <c r="G224" s="12" t="inlineStr">
        <is>
          <t>네이버</t>
        </is>
      </c>
      <c r="H224" s="13" t="n">
        <v>45101</v>
      </c>
      <c r="I224" s="12" t="inlineStr">
        <is>
          <t>PC</t>
        </is>
      </c>
      <c r="J224" s="12" t="inlineStr">
        <is>
          <t>00.브랜드검색PCMO</t>
        </is>
      </c>
      <c r="K224" s="12" t="inlineStr">
        <is>
          <t>01.PC브랜드검색</t>
        </is>
      </c>
      <c r="L224" s="12" t="n"/>
      <c r="M224" s="12" t="n">
        <v>0</v>
      </c>
      <c r="N224" s="12" t="n">
        <v>0</v>
      </c>
      <c r="O224" s="12" t="n">
        <v>36666.66666666666</v>
      </c>
      <c r="P224" s="12" t="n">
        <v>0</v>
      </c>
      <c r="Q224" s="12" t="n">
        <v>0</v>
      </c>
      <c r="R224" s="12" t="n">
        <v>0</v>
      </c>
      <c r="S224" s="12" t="n">
        <v>0</v>
      </c>
      <c r="T224" s="12" t="inlineStr">
        <is>
          <t>BSA</t>
        </is>
      </c>
      <c r="U224" s="12" t="inlineStr">
        <is>
          <t>BSA</t>
        </is>
      </c>
    </row>
    <row r="225">
      <c r="C225" s="12" t="inlineStr">
        <is>
          <t>BSA</t>
        </is>
      </c>
      <c r="D225" s="12" t="inlineStr">
        <is>
          <t>BSA</t>
        </is>
      </c>
      <c r="E225" s="12" t="inlineStr">
        <is>
          <t>당월</t>
        </is>
      </c>
      <c r="F225" s="12" t="inlineStr">
        <is>
          <t>6월 4주차</t>
        </is>
      </c>
      <c r="G225" s="12" t="inlineStr">
        <is>
          <t>네이버</t>
        </is>
      </c>
      <c r="H225" s="13" t="n">
        <v>45101</v>
      </c>
      <c r="I225" s="12" t="inlineStr">
        <is>
          <t>MO</t>
        </is>
      </c>
      <c r="J225" s="12" t="inlineStr">
        <is>
          <t>00.브랜드검색PCMO</t>
        </is>
      </c>
      <c r="K225" s="12" t="inlineStr">
        <is>
          <t>01.MO브랜드검색</t>
        </is>
      </c>
      <c r="L225" s="12" t="n"/>
      <c r="M225" s="12" t="n">
        <v>0</v>
      </c>
      <c r="N225" s="12" t="n">
        <v>0</v>
      </c>
      <c r="O225" s="12" t="n">
        <v>51333.33333333334</v>
      </c>
      <c r="P225" s="12" t="n">
        <v>0</v>
      </c>
      <c r="Q225" s="12" t="n">
        <v>0</v>
      </c>
      <c r="R225" s="12" t="n">
        <v>0</v>
      </c>
      <c r="S225" s="12" t="n">
        <v>0</v>
      </c>
      <c r="T225" s="12" t="inlineStr">
        <is>
          <t>BSA</t>
        </is>
      </c>
      <c r="U225" s="12" t="inlineStr">
        <is>
          <t>BSA</t>
        </is>
      </c>
    </row>
    <row r="226">
      <c r="C226" s="12" t="inlineStr">
        <is>
          <t>BSA</t>
        </is>
      </c>
      <c r="D226" s="12" t="inlineStr">
        <is>
          <t>BSA</t>
        </is>
      </c>
      <c r="E226" s="12" t="inlineStr">
        <is>
          <t>당월</t>
        </is>
      </c>
      <c r="F226" s="12" t="inlineStr">
        <is>
          <t>6월 4주차</t>
        </is>
      </c>
      <c r="G226" s="12" t="inlineStr">
        <is>
          <t>네이버</t>
        </is>
      </c>
      <c r="H226" s="13" t="n">
        <v>45102</v>
      </c>
      <c r="I226" s="12" t="inlineStr">
        <is>
          <t>PC</t>
        </is>
      </c>
      <c r="J226" s="12" t="inlineStr">
        <is>
          <t>00.브랜드검색PCMO</t>
        </is>
      </c>
      <c r="K226" s="12" t="inlineStr">
        <is>
          <t>01.PC브랜드검색</t>
        </is>
      </c>
      <c r="L226" s="12" t="n"/>
      <c r="M226" s="12" t="n">
        <v>0</v>
      </c>
      <c r="N226" s="12" t="n">
        <v>0</v>
      </c>
      <c r="O226" s="12" t="n">
        <v>36666.66666666666</v>
      </c>
      <c r="P226" s="12" t="n">
        <v>0</v>
      </c>
      <c r="Q226" s="12" t="n">
        <v>0</v>
      </c>
      <c r="R226" s="12" t="n">
        <v>0</v>
      </c>
      <c r="S226" s="12" t="n">
        <v>0</v>
      </c>
      <c r="T226" s="12" t="inlineStr">
        <is>
          <t>BSA</t>
        </is>
      </c>
      <c r="U226" s="12" t="inlineStr">
        <is>
          <t>BSA</t>
        </is>
      </c>
    </row>
    <row r="227">
      <c r="C227" s="12" t="inlineStr">
        <is>
          <t>BSA</t>
        </is>
      </c>
      <c r="D227" s="12" t="inlineStr">
        <is>
          <t>BSA</t>
        </is>
      </c>
      <c r="E227" s="12" t="inlineStr">
        <is>
          <t>당월</t>
        </is>
      </c>
      <c r="F227" s="12" t="inlineStr">
        <is>
          <t>6월 4주차</t>
        </is>
      </c>
      <c r="G227" s="12" t="inlineStr">
        <is>
          <t>네이버</t>
        </is>
      </c>
      <c r="H227" s="13" t="n">
        <v>45102</v>
      </c>
      <c r="I227" s="12" t="inlineStr">
        <is>
          <t>MO</t>
        </is>
      </c>
      <c r="J227" s="12" t="inlineStr">
        <is>
          <t>00.브랜드검색PCMO</t>
        </is>
      </c>
      <c r="K227" s="12" t="inlineStr">
        <is>
          <t>01.MO브랜드검색</t>
        </is>
      </c>
      <c r="L227" s="12" t="n"/>
      <c r="M227" s="12" t="n">
        <v>0</v>
      </c>
      <c r="N227" s="12" t="n">
        <v>0</v>
      </c>
      <c r="O227" s="12" t="n">
        <v>51333.33333333334</v>
      </c>
      <c r="P227" s="12" t="n">
        <v>0</v>
      </c>
      <c r="Q227" s="12" t="n">
        <v>0</v>
      </c>
      <c r="R227" s="12" t="n">
        <v>0</v>
      </c>
      <c r="S227" s="12" t="n">
        <v>0</v>
      </c>
      <c r="T227" s="12" t="inlineStr">
        <is>
          <t>BSA</t>
        </is>
      </c>
      <c r="U227" s="12" t="inlineStr">
        <is>
          <t>BSA</t>
        </is>
      </c>
    </row>
    <row r="230">
      <c r="H230" s="13" t="n"/>
    </row>
    <row r="231">
      <c r="C231" s="12" t="inlineStr">
        <is>
          <t>BSA</t>
        </is>
      </c>
      <c r="D231" s="12" t="inlineStr">
        <is>
          <t>BSA</t>
        </is>
      </c>
      <c r="E231" s="12" t="inlineStr">
        <is>
          <t>당월</t>
        </is>
      </c>
      <c r="F231" s="12" t="inlineStr">
        <is>
          <t>6월 5주차</t>
        </is>
      </c>
      <c r="G231" s="12" t="inlineStr">
        <is>
          <t>네이버</t>
        </is>
      </c>
      <c r="H231" s="13" t="n">
        <v>45103</v>
      </c>
      <c r="I231" s="12" t="inlineStr">
        <is>
          <t>PC</t>
        </is>
      </c>
      <c r="J231" s="12" t="inlineStr">
        <is>
          <t>00.브랜드검색PCMO</t>
        </is>
      </c>
      <c r="K231" s="12" t="inlineStr">
        <is>
          <t>01.PC브랜드검색</t>
        </is>
      </c>
      <c r="L231" s="12" t="n"/>
      <c r="M231" s="12" t="n">
        <v>0</v>
      </c>
      <c r="N231" s="12" t="n">
        <v>0</v>
      </c>
      <c r="O231" s="12" t="n">
        <v>36666.66666666666</v>
      </c>
      <c r="P231" s="12" t="n">
        <v>0</v>
      </c>
      <c r="Q231" s="12" t="n">
        <v>0</v>
      </c>
      <c r="R231" s="12" t="n">
        <v>0</v>
      </c>
      <c r="S231" s="12" t="n">
        <v>0</v>
      </c>
      <c r="T231" s="12" t="inlineStr">
        <is>
          <t>BSA</t>
        </is>
      </c>
      <c r="U231" s="12" t="inlineStr">
        <is>
          <t>BSA</t>
        </is>
      </c>
    </row>
    <row r="232">
      <c r="C232" s="12" t="inlineStr">
        <is>
          <t>BSA</t>
        </is>
      </c>
      <c r="D232" s="12" t="inlineStr">
        <is>
          <t>BSA</t>
        </is>
      </c>
      <c r="E232" s="12" t="inlineStr">
        <is>
          <t>당월</t>
        </is>
      </c>
      <c r="F232" s="12" t="inlineStr">
        <is>
          <t>6월 5주차</t>
        </is>
      </c>
      <c r="G232" s="12" t="inlineStr">
        <is>
          <t>네이버</t>
        </is>
      </c>
      <c r="H232" s="13" t="n">
        <v>45103</v>
      </c>
      <c r="I232" s="12" t="inlineStr">
        <is>
          <t>MO</t>
        </is>
      </c>
      <c r="J232" s="12" t="inlineStr">
        <is>
          <t>00.브랜드검색PCMO</t>
        </is>
      </c>
      <c r="K232" s="12" t="inlineStr">
        <is>
          <t>01.MO브랜드검색</t>
        </is>
      </c>
      <c r="L232" s="12" t="n"/>
      <c r="M232" s="12" t="n">
        <v>0</v>
      </c>
      <c r="N232" s="12" t="n">
        <v>0</v>
      </c>
      <c r="O232" s="12" t="n">
        <v>51333.33333333334</v>
      </c>
      <c r="P232" s="12" t="n">
        <v>0</v>
      </c>
      <c r="Q232" s="12" t="n">
        <v>0</v>
      </c>
      <c r="R232" s="12" t="n">
        <v>0</v>
      </c>
      <c r="S232" s="12" t="n">
        <v>0</v>
      </c>
      <c r="T232" s="12" t="inlineStr">
        <is>
          <t>BSA</t>
        </is>
      </c>
      <c r="U232" s="12" t="inlineStr">
        <is>
          <t>BSA</t>
        </is>
      </c>
    </row>
    <row r="233">
      <c r="C233" s="12" t="inlineStr">
        <is>
          <t>BSA</t>
        </is>
      </c>
      <c r="D233" s="12" t="inlineStr">
        <is>
          <t>BSA</t>
        </is>
      </c>
      <c r="E233" s="12" t="inlineStr">
        <is>
          <t>당월</t>
        </is>
      </c>
      <c r="F233" s="12" t="inlineStr">
        <is>
          <t>6월 5주차</t>
        </is>
      </c>
      <c r="G233" s="12" t="inlineStr">
        <is>
          <t>네이버</t>
        </is>
      </c>
      <c r="H233" s="13" t="n">
        <v>45104</v>
      </c>
      <c r="I233" s="12" t="inlineStr">
        <is>
          <t>PC</t>
        </is>
      </c>
      <c r="J233" s="12" t="inlineStr">
        <is>
          <t>00.브랜드검색PCMO</t>
        </is>
      </c>
      <c r="K233" s="12" t="inlineStr">
        <is>
          <t>01.PC브랜드검색</t>
        </is>
      </c>
      <c r="L233" s="12" t="n"/>
      <c r="M233" s="12" t="n">
        <v>0</v>
      </c>
      <c r="N233" s="12" t="n">
        <v>0</v>
      </c>
      <c r="O233" s="12" t="n">
        <v>36666.66666666666</v>
      </c>
      <c r="P233" s="12" t="n">
        <v>0</v>
      </c>
      <c r="Q233" s="12" t="n">
        <v>0</v>
      </c>
      <c r="R233" s="12" t="n">
        <v>0</v>
      </c>
      <c r="S233" s="12" t="n">
        <v>0</v>
      </c>
      <c r="T233" s="12" t="inlineStr">
        <is>
          <t>BSA</t>
        </is>
      </c>
      <c r="U233" s="12" t="inlineStr">
        <is>
          <t>BSA</t>
        </is>
      </c>
    </row>
    <row r="234">
      <c r="C234" s="12" t="inlineStr">
        <is>
          <t>BSA</t>
        </is>
      </c>
      <c r="D234" s="12" t="inlineStr">
        <is>
          <t>BSA</t>
        </is>
      </c>
      <c r="E234" s="12" t="inlineStr">
        <is>
          <t>당월</t>
        </is>
      </c>
      <c r="F234" s="12" t="inlineStr">
        <is>
          <t>6월 5주차</t>
        </is>
      </c>
      <c r="G234" s="12" t="inlineStr">
        <is>
          <t>네이버</t>
        </is>
      </c>
      <c r="H234" s="13" t="n">
        <v>45104</v>
      </c>
      <c r="I234" s="12" t="inlineStr">
        <is>
          <t>MO</t>
        </is>
      </c>
      <c r="J234" s="12" t="inlineStr">
        <is>
          <t>00.브랜드검색PCMO</t>
        </is>
      </c>
      <c r="K234" s="12" t="inlineStr">
        <is>
          <t>01.MO브랜드검색</t>
        </is>
      </c>
      <c r="L234" s="12" t="n"/>
      <c r="M234" s="12" t="n">
        <v>0</v>
      </c>
      <c r="N234" s="12" t="n">
        <v>0</v>
      </c>
      <c r="O234" s="12" t="n">
        <v>51333.33333333334</v>
      </c>
      <c r="P234" s="12" t="n">
        <v>0</v>
      </c>
      <c r="Q234" s="12" t="n">
        <v>0</v>
      </c>
      <c r="R234" s="12" t="n">
        <v>0</v>
      </c>
      <c r="S234" s="12" t="n">
        <v>0</v>
      </c>
      <c r="T234" s="12" t="inlineStr">
        <is>
          <t>BSA</t>
        </is>
      </c>
      <c r="U234" s="12" t="inlineStr">
        <is>
          <t>BSA</t>
        </is>
      </c>
    </row>
    <row r="235">
      <c r="C235" s="12" t="inlineStr">
        <is>
          <t>BSA</t>
        </is>
      </c>
      <c r="D235" s="12" t="inlineStr">
        <is>
          <t>BSA</t>
        </is>
      </c>
      <c r="E235" s="12" t="inlineStr">
        <is>
          <t>당월</t>
        </is>
      </c>
      <c r="F235" s="12" t="inlineStr">
        <is>
          <t>6월 5주차</t>
        </is>
      </c>
      <c r="G235" s="12" t="inlineStr">
        <is>
          <t>네이버</t>
        </is>
      </c>
      <c r="H235" s="13" t="n">
        <v>45105</v>
      </c>
      <c r="I235" s="12" t="inlineStr">
        <is>
          <t>PC</t>
        </is>
      </c>
      <c r="J235" s="12" t="inlineStr">
        <is>
          <t>00.브랜드검색PCMO</t>
        </is>
      </c>
      <c r="K235" s="12" t="inlineStr">
        <is>
          <t>01.PC브랜드검색</t>
        </is>
      </c>
      <c r="L235" s="12" t="n"/>
      <c r="M235" s="12" t="n">
        <v>0</v>
      </c>
      <c r="N235" s="12" t="n">
        <v>0</v>
      </c>
      <c r="O235" s="12" t="n">
        <v>36666.66666666666</v>
      </c>
      <c r="P235" s="12" t="n">
        <v>0</v>
      </c>
      <c r="Q235" s="12" t="n">
        <v>0</v>
      </c>
      <c r="R235" s="12" t="n">
        <v>0</v>
      </c>
      <c r="S235" s="12" t="n">
        <v>0</v>
      </c>
      <c r="T235" s="12" t="inlineStr">
        <is>
          <t>BSA</t>
        </is>
      </c>
      <c r="U235" s="12" t="inlineStr">
        <is>
          <t>BSA</t>
        </is>
      </c>
    </row>
    <row r="236">
      <c r="C236" s="12" t="inlineStr">
        <is>
          <t>BSA</t>
        </is>
      </c>
      <c r="D236" s="12" t="inlineStr">
        <is>
          <t>BSA</t>
        </is>
      </c>
      <c r="E236" s="12" t="inlineStr">
        <is>
          <t>당월</t>
        </is>
      </c>
      <c r="F236" s="12" t="inlineStr">
        <is>
          <t>6월 5주차</t>
        </is>
      </c>
      <c r="G236" s="12" t="inlineStr">
        <is>
          <t>네이버</t>
        </is>
      </c>
      <c r="H236" s="13" t="n">
        <v>45105</v>
      </c>
      <c r="I236" s="12" t="inlineStr">
        <is>
          <t>MO</t>
        </is>
      </c>
      <c r="J236" s="12" t="inlineStr">
        <is>
          <t>00.브랜드검색PCMO</t>
        </is>
      </c>
      <c r="K236" s="12" t="inlineStr">
        <is>
          <t>01.MO브랜드검색</t>
        </is>
      </c>
      <c r="L236" s="12" t="n"/>
      <c r="M236" s="12" t="n">
        <v>0</v>
      </c>
      <c r="N236" s="12" t="n">
        <v>0</v>
      </c>
      <c r="O236" s="12" t="n">
        <v>51333.33333333334</v>
      </c>
      <c r="P236" s="12" t="n">
        <v>0</v>
      </c>
      <c r="Q236" s="12" t="n">
        <v>0</v>
      </c>
      <c r="R236" s="12" t="n">
        <v>0</v>
      </c>
      <c r="S236" s="12" t="n">
        <v>0</v>
      </c>
      <c r="T236" s="12" t="inlineStr">
        <is>
          <t>BSA</t>
        </is>
      </c>
      <c r="U236" s="12" t="inlineStr">
        <is>
          <t>BSA</t>
        </is>
      </c>
    </row>
    <row r="237">
      <c r="C237" s="12" t="inlineStr">
        <is>
          <t>BSA</t>
        </is>
      </c>
      <c r="D237" s="12" t="inlineStr">
        <is>
          <t>BSA</t>
        </is>
      </c>
      <c r="E237" s="12" t="inlineStr">
        <is>
          <t>당월</t>
        </is>
      </c>
      <c r="F237" s="12" t="inlineStr">
        <is>
          <t>6월 5주차</t>
        </is>
      </c>
      <c r="G237" s="12" t="inlineStr">
        <is>
          <t>네이버</t>
        </is>
      </c>
      <c r="H237" s="13" t="n">
        <v>45106</v>
      </c>
      <c r="I237" s="12" t="inlineStr">
        <is>
          <t>PC</t>
        </is>
      </c>
      <c r="J237" s="12" t="inlineStr">
        <is>
          <t>00.브랜드검색PCMO</t>
        </is>
      </c>
      <c r="K237" s="12" t="inlineStr">
        <is>
          <t>01.PC브랜드검색</t>
        </is>
      </c>
      <c r="L237" s="12" t="n"/>
      <c r="M237" s="12" t="n">
        <v>0</v>
      </c>
      <c r="N237" s="12" t="n">
        <v>0</v>
      </c>
      <c r="O237" s="12" t="n">
        <v>36666.66666666666</v>
      </c>
      <c r="P237" s="12" t="n">
        <v>0</v>
      </c>
      <c r="Q237" s="12" t="n">
        <v>0</v>
      </c>
      <c r="R237" s="12" t="n">
        <v>0</v>
      </c>
      <c r="S237" s="12" t="n">
        <v>0</v>
      </c>
      <c r="T237" s="12" t="inlineStr">
        <is>
          <t>BSA</t>
        </is>
      </c>
      <c r="U237" s="12" t="inlineStr">
        <is>
          <t>BSA</t>
        </is>
      </c>
    </row>
    <row r="238">
      <c r="C238" s="12" t="inlineStr">
        <is>
          <t>BSA</t>
        </is>
      </c>
      <c r="D238" s="12" t="inlineStr">
        <is>
          <t>BSA</t>
        </is>
      </c>
      <c r="E238" s="12" t="inlineStr">
        <is>
          <t>당월</t>
        </is>
      </c>
      <c r="F238" s="12" t="inlineStr">
        <is>
          <t>6월 5주차</t>
        </is>
      </c>
      <c r="G238" s="12" t="inlineStr">
        <is>
          <t>네이버</t>
        </is>
      </c>
      <c r="H238" s="13" t="n">
        <v>45106</v>
      </c>
      <c r="I238" s="12" t="inlineStr">
        <is>
          <t>MO</t>
        </is>
      </c>
      <c r="J238" s="12" t="inlineStr">
        <is>
          <t>00.브랜드검색PCMO</t>
        </is>
      </c>
      <c r="K238" s="12" t="inlineStr">
        <is>
          <t>01.MO브랜드검색</t>
        </is>
      </c>
      <c r="L238" s="12" t="n"/>
      <c r="M238" s="12" t="n">
        <v>0</v>
      </c>
      <c r="N238" s="12" t="n">
        <v>0</v>
      </c>
      <c r="O238" s="12" t="n">
        <v>51333.33333333334</v>
      </c>
      <c r="P238" s="12" t="n">
        <v>0</v>
      </c>
      <c r="Q238" s="12" t="n">
        <v>0</v>
      </c>
      <c r="R238" s="12" t="n">
        <v>0</v>
      </c>
      <c r="S238" s="12" t="n">
        <v>0</v>
      </c>
      <c r="T238" s="12" t="inlineStr">
        <is>
          <t>BSA</t>
        </is>
      </c>
      <c r="U238" s="12" t="inlineStr">
        <is>
          <t>BSA</t>
        </is>
      </c>
    </row>
    <row r="239">
      <c r="C239" s="12" t="inlineStr">
        <is>
          <t>BSA</t>
        </is>
      </c>
      <c r="D239" s="12" t="inlineStr">
        <is>
          <t>BSA</t>
        </is>
      </c>
      <c r="E239" s="12" t="inlineStr">
        <is>
          <t>당월</t>
        </is>
      </c>
      <c r="F239" s="12" t="inlineStr">
        <is>
          <t>6월 5주차</t>
        </is>
      </c>
      <c r="G239" s="12" t="inlineStr">
        <is>
          <t>네이버</t>
        </is>
      </c>
      <c r="H239" s="13" t="n">
        <v>45107</v>
      </c>
      <c r="I239" s="12" t="inlineStr">
        <is>
          <t>PC</t>
        </is>
      </c>
      <c r="J239" s="12" t="inlineStr">
        <is>
          <t>00.브랜드검색PCMO</t>
        </is>
      </c>
      <c r="K239" s="12" t="inlineStr">
        <is>
          <t>01.PC브랜드검색</t>
        </is>
      </c>
      <c r="L239" s="12" t="n"/>
      <c r="M239" s="12" t="n">
        <v>0</v>
      </c>
      <c r="N239" s="12" t="n">
        <v>0</v>
      </c>
      <c r="O239" s="12" t="n">
        <v>36666.66666666666</v>
      </c>
      <c r="P239" s="12" t="n">
        <v>0</v>
      </c>
      <c r="Q239" s="12" t="n">
        <v>0</v>
      </c>
      <c r="R239" s="12" t="n">
        <v>0</v>
      </c>
      <c r="S239" s="12" t="n">
        <v>0</v>
      </c>
      <c r="T239" s="12" t="inlineStr">
        <is>
          <t>BSA</t>
        </is>
      </c>
      <c r="U239" s="12" t="inlineStr">
        <is>
          <t>BSA</t>
        </is>
      </c>
    </row>
    <row r="240">
      <c r="C240" s="12" t="inlineStr">
        <is>
          <t>BSA</t>
        </is>
      </c>
      <c r="D240" s="12" t="inlineStr">
        <is>
          <t>BSA</t>
        </is>
      </c>
      <c r="E240" s="12" t="inlineStr">
        <is>
          <t>당월</t>
        </is>
      </c>
      <c r="F240" s="12" t="inlineStr">
        <is>
          <t>6월 5주차</t>
        </is>
      </c>
      <c r="G240" s="12" t="inlineStr">
        <is>
          <t>네이버</t>
        </is>
      </c>
      <c r="H240" s="13" t="n">
        <v>45107</v>
      </c>
      <c r="I240" s="12" t="inlineStr">
        <is>
          <t>MO</t>
        </is>
      </c>
      <c r="J240" s="12" t="inlineStr">
        <is>
          <t>00.브랜드검색PCMO</t>
        </is>
      </c>
      <c r="K240" s="12" t="inlineStr">
        <is>
          <t>01.MO브랜드검색</t>
        </is>
      </c>
      <c r="L240" s="12" t="n"/>
      <c r="M240" s="12" t="n">
        <v>0</v>
      </c>
      <c r="N240" s="12" t="n">
        <v>0</v>
      </c>
      <c r="O240" s="12" t="n">
        <v>51333.33333333334</v>
      </c>
      <c r="P240" s="12" t="n">
        <v>0</v>
      </c>
      <c r="Q240" s="12" t="n">
        <v>0</v>
      </c>
      <c r="R240" s="12" t="n">
        <v>0</v>
      </c>
      <c r="S240" s="12" t="n">
        <v>0</v>
      </c>
      <c r="T240" s="12" t="inlineStr">
        <is>
          <t>BSA</t>
        </is>
      </c>
      <c r="U240" s="12" t="inlineStr">
        <is>
          <t>BSA</t>
        </is>
      </c>
    </row>
    <row r="241">
      <c r="C241" s="12" t="inlineStr">
        <is>
          <t>BSA</t>
        </is>
      </c>
      <c r="D241" s="12" t="inlineStr">
        <is>
          <t>BSA</t>
        </is>
      </c>
      <c r="E241" s="12" t="inlineStr">
        <is>
          <t>당월</t>
        </is>
      </c>
      <c r="F241" s="12" t="inlineStr">
        <is>
          <t>7월 1주차</t>
        </is>
      </c>
      <c r="G241" s="12" t="inlineStr">
        <is>
          <t>네이버</t>
        </is>
      </c>
      <c r="H241" s="13" t="n">
        <v>45108</v>
      </c>
      <c r="I241" s="12" t="inlineStr">
        <is>
          <t>PC</t>
        </is>
      </c>
      <c r="J241" s="12" t="inlineStr">
        <is>
          <t>00.브랜드검색PCMO</t>
        </is>
      </c>
      <c r="K241" s="12" t="inlineStr">
        <is>
          <t>01.PC브랜드검색</t>
        </is>
      </c>
      <c r="L241" s="12" t="n"/>
      <c r="M241" s="12" t="n">
        <v>0</v>
      </c>
      <c r="N241" s="12" t="n">
        <v>0</v>
      </c>
      <c r="O241" s="12" t="n">
        <v>36666.66666666666</v>
      </c>
      <c r="P241" s="12" t="n">
        <v>0</v>
      </c>
      <c r="Q241" s="12" t="n">
        <v>0</v>
      </c>
      <c r="R241" s="12" t="n">
        <v>0</v>
      </c>
      <c r="S241" s="12" t="n">
        <v>0</v>
      </c>
      <c r="T241" s="12" t="inlineStr">
        <is>
          <t>BSA</t>
        </is>
      </c>
      <c r="U241" s="12" t="inlineStr">
        <is>
          <t>BSA</t>
        </is>
      </c>
    </row>
    <row r="242">
      <c r="C242" s="12" t="inlineStr">
        <is>
          <t>BSA</t>
        </is>
      </c>
      <c r="D242" s="12" t="inlineStr">
        <is>
          <t>BSA</t>
        </is>
      </c>
      <c r="E242" s="12" t="inlineStr">
        <is>
          <t>당월</t>
        </is>
      </c>
      <c r="F242" s="12" t="inlineStr">
        <is>
          <t>7월 1주차</t>
        </is>
      </c>
      <c r="G242" s="12" t="inlineStr">
        <is>
          <t>네이버</t>
        </is>
      </c>
      <c r="H242" s="13" t="n">
        <v>45108</v>
      </c>
      <c r="I242" s="12" t="inlineStr">
        <is>
          <t>MO</t>
        </is>
      </c>
      <c r="J242" s="12" t="inlineStr">
        <is>
          <t>00.브랜드검색PCMO</t>
        </is>
      </c>
      <c r="K242" s="12" t="inlineStr">
        <is>
          <t>01.MO브랜드검색</t>
        </is>
      </c>
      <c r="L242" s="12" t="n"/>
      <c r="M242" s="12" t="n">
        <v>0</v>
      </c>
      <c r="N242" s="12" t="n">
        <v>0</v>
      </c>
      <c r="O242" s="12" t="n">
        <v>51333.33333333334</v>
      </c>
      <c r="P242" s="12" t="n">
        <v>0</v>
      </c>
      <c r="Q242" s="12" t="n">
        <v>0</v>
      </c>
      <c r="R242" s="12" t="n">
        <v>0</v>
      </c>
      <c r="S242" s="12" t="n">
        <v>0</v>
      </c>
      <c r="T242" s="12" t="inlineStr">
        <is>
          <t>BSA</t>
        </is>
      </c>
      <c r="U242" s="12" t="inlineStr">
        <is>
          <t>BSA</t>
        </is>
      </c>
    </row>
    <row r="243">
      <c r="C243" s="12" t="inlineStr">
        <is>
          <t>BSA</t>
        </is>
      </c>
      <c r="D243" s="12" t="inlineStr">
        <is>
          <t>BSA</t>
        </is>
      </c>
      <c r="E243" s="12" t="inlineStr">
        <is>
          <t>당월</t>
        </is>
      </c>
      <c r="F243" s="12" t="inlineStr">
        <is>
          <t>7월 1주차</t>
        </is>
      </c>
      <c r="G243" s="12" t="inlineStr">
        <is>
          <t>네이버</t>
        </is>
      </c>
      <c r="H243" s="13" t="n">
        <v>45109</v>
      </c>
      <c r="I243" s="12" t="inlineStr">
        <is>
          <t>PC</t>
        </is>
      </c>
      <c r="J243" s="12" t="inlineStr">
        <is>
          <t>00.브랜드검색PCMO</t>
        </is>
      </c>
      <c r="K243" s="12" t="inlineStr">
        <is>
          <t>01.PC브랜드검색</t>
        </is>
      </c>
      <c r="L243" s="12" t="n"/>
      <c r="M243" s="12" t="n">
        <v>0</v>
      </c>
      <c r="N243" s="12" t="n">
        <v>0</v>
      </c>
      <c r="O243" s="12" t="n">
        <v>36666.66666666666</v>
      </c>
      <c r="P243" s="12" t="n">
        <v>0</v>
      </c>
      <c r="Q243" s="12" t="n">
        <v>0</v>
      </c>
      <c r="R243" s="12" t="n">
        <v>0</v>
      </c>
      <c r="S243" s="12" t="n">
        <v>0</v>
      </c>
      <c r="T243" s="12" t="inlineStr">
        <is>
          <t>BSA</t>
        </is>
      </c>
      <c r="U243" s="12" t="inlineStr">
        <is>
          <t>BSA</t>
        </is>
      </c>
    </row>
    <row r="244">
      <c r="C244" s="12" t="inlineStr">
        <is>
          <t>BSA</t>
        </is>
      </c>
      <c r="D244" s="12" t="inlineStr">
        <is>
          <t>BSA</t>
        </is>
      </c>
      <c r="E244" s="12" t="inlineStr">
        <is>
          <t>당월</t>
        </is>
      </c>
      <c r="F244" s="12" t="inlineStr">
        <is>
          <t>7월 1주차</t>
        </is>
      </c>
      <c r="G244" s="12" t="inlineStr">
        <is>
          <t>네이버</t>
        </is>
      </c>
      <c r="H244" s="13" t="n">
        <v>45109</v>
      </c>
      <c r="I244" s="12" t="inlineStr">
        <is>
          <t>MO</t>
        </is>
      </c>
      <c r="J244" s="12" t="inlineStr">
        <is>
          <t>00.브랜드검색PCMO</t>
        </is>
      </c>
      <c r="K244" s="12" t="inlineStr">
        <is>
          <t>01.MO브랜드검색</t>
        </is>
      </c>
      <c r="L244" s="12" t="n"/>
      <c r="M244" s="12" t="n">
        <v>0</v>
      </c>
      <c r="N244" s="12" t="n">
        <v>0</v>
      </c>
      <c r="O244" s="12" t="n">
        <v>51333.33333333334</v>
      </c>
      <c r="P244" s="12" t="n">
        <v>0</v>
      </c>
      <c r="Q244" s="12" t="n">
        <v>0</v>
      </c>
      <c r="R244" s="12" t="n">
        <v>0</v>
      </c>
      <c r="S244" s="12" t="n">
        <v>0</v>
      </c>
      <c r="T244" s="12" t="inlineStr">
        <is>
          <t>BSA</t>
        </is>
      </c>
      <c r="U244" s="12" t="inlineStr">
        <is>
          <t>BSA</t>
        </is>
      </c>
    </row>
    <row r="247">
      <c r="C247" t="inlineStr">
        <is>
          <t>BSA</t>
        </is>
      </c>
      <c r="D247" t="inlineStr">
        <is>
          <t>BSA</t>
        </is>
      </c>
      <c r="E247" t="inlineStr">
        <is>
          <t>당월</t>
        </is>
      </c>
      <c r="F247" t="inlineStr">
        <is>
          <t>6월 5주차</t>
        </is>
      </c>
      <c r="G247" t="inlineStr">
        <is>
          <t>네이버</t>
        </is>
      </c>
      <c r="H247" s="13" t="n">
        <v>45110</v>
      </c>
      <c r="I247" t="inlineStr">
        <is>
          <t>PC</t>
        </is>
      </c>
      <c r="J247" t="inlineStr">
        <is>
          <t>00.브랜드검색PCMO</t>
        </is>
      </c>
      <c r="K247" t="inlineStr">
        <is>
          <t>01.PC브랜드검색</t>
        </is>
      </c>
      <c r="M247" t="n">
        <v>0</v>
      </c>
      <c r="N247" t="n">
        <v>0</v>
      </c>
      <c r="O247" t="n">
        <v>36666.66666666666</v>
      </c>
      <c r="P247" t="n">
        <v>0</v>
      </c>
      <c r="Q247" t="n">
        <v>0</v>
      </c>
      <c r="R247" t="n">
        <v>0</v>
      </c>
      <c r="S247" t="n">
        <v>0</v>
      </c>
      <c r="T247" t="inlineStr">
        <is>
          <t>BSA</t>
        </is>
      </c>
      <c r="U247" t="inlineStr">
        <is>
          <t>BSA</t>
        </is>
      </c>
    </row>
    <row r="248">
      <c r="C248" t="inlineStr">
        <is>
          <t>BSA</t>
        </is>
      </c>
      <c r="D248" t="inlineStr">
        <is>
          <t>BSA</t>
        </is>
      </c>
      <c r="E248" t="inlineStr">
        <is>
          <t>당월</t>
        </is>
      </c>
      <c r="F248" t="inlineStr">
        <is>
          <t>6월 5주차</t>
        </is>
      </c>
      <c r="G248" t="inlineStr">
        <is>
          <t>네이버</t>
        </is>
      </c>
      <c r="H248" s="13" t="n">
        <v>45110</v>
      </c>
      <c r="I248" t="inlineStr">
        <is>
          <t>MO</t>
        </is>
      </c>
      <c r="J248" t="inlineStr">
        <is>
          <t>00.브랜드검색PCMO</t>
        </is>
      </c>
      <c r="K248" t="inlineStr">
        <is>
          <t>01.MO브랜드검색</t>
        </is>
      </c>
      <c r="M248" t="n">
        <v>0</v>
      </c>
      <c r="N248" t="n">
        <v>0</v>
      </c>
      <c r="O248" t="n">
        <v>51333.33333333334</v>
      </c>
      <c r="P248" t="n">
        <v>0</v>
      </c>
      <c r="Q248" t="n">
        <v>0</v>
      </c>
      <c r="R248" t="n">
        <v>0</v>
      </c>
      <c r="S248" t="n">
        <v>0</v>
      </c>
      <c r="T248" t="inlineStr">
        <is>
          <t>BSA</t>
        </is>
      </c>
      <c r="U248" t="inlineStr">
        <is>
          <t>BSA</t>
        </is>
      </c>
    </row>
    <row r="249">
      <c r="C249" t="inlineStr">
        <is>
          <t>BSA</t>
        </is>
      </c>
      <c r="D249" t="inlineStr">
        <is>
          <t>BSA</t>
        </is>
      </c>
      <c r="E249" t="inlineStr">
        <is>
          <t>당월</t>
        </is>
      </c>
      <c r="F249" t="inlineStr">
        <is>
          <t>6월 5주차</t>
        </is>
      </c>
      <c r="G249" t="inlineStr">
        <is>
          <t>네이버</t>
        </is>
      </c>
      <c r="H249" s="13" t="n">
        <v>45111</v>
      </c>
      <c r="I249" t="inlineStr">
        <is>
          <t>PC</t>
        </is>
      </c>
      <c r="J249" t="inlineStr">
        <is>
          <t>00.브랜드검색PCMO</t>
        </is>
      </c>
      <c r="K249" t="inlineStr">
        <is>
          <t>01.PC브랜드검색</t>
        </is>
      </c>
      <c r="M249" t="n">
        <v>0</v>
      </c>
      <c r="N249" t="n">
        <v>0</v>
      </c>
      <c r="O249" t="n">
        <v>36666.66666666666</v>
      </c>
      <c r="P249" t="n">
        <v>0</v>
      </c>
      <c r="Q249" t="n">
        <v>0</v>
      </c>
      <c r="R249" t="n">
        <v>0</v>
      </c>
      <c r="S249" t="n">
        <v>0</v>
      </c>
      <c r="T249" t="inlineStr">
        <is>
          <t>BSA</t>
        </is>
      </c>
      <c r="U249" t="inlineStr">
        <is>
          <t>BSA</t>
        </is>
      </c>
    </row>
    <row r="250">
      <c r="C250" t="inlineStr">
        <is>
          <t>BSA</t>
        </is>
      </c>
      <c r="D250" t="inlineStr">
        <is>
          <t>BSA</t>
        </is>
      </c>
      <c r="E250" t="inlineStr">
        <is>
          <t>당월</t>
        </is>
      </c>
      <c r="F250" t="inlineStr">
        <is>
          <t>6월 5주차</t>
        </is>
      </c>
      <c r="G250" t="inlineStr">
        <is>
          <t>네이버</t>
        </is>
      </c>
      <c r="H250" s="13" t="n">
        <v>45111</v>
      </c>
      <c r="I250" t="inlineStr">
        <is>
          <t>MO</t>
        </is>
      </c>
      <c r="J250" t="inlineStr">
        <is>
          <t>00.브랜드검색PCMO</t>
        </is>
      </c>
      <c r="K250" t="inlineStr">
        <is>
          <t>01.MO브랜드검색</t>
        </is>
      </c>
      <c r="M250" t="n">
        <v>0</v>
      </c>
      <c r="N250" t="n">
        <v>0</v>
      </c>
      <c r="O250" t="n">
        <v>51333.33333333334</v>
      </c>
      <c r="P250" t="n">
        <v>0</v>
      </c>
      <c r="Q250" t="n">
        <v>0</v>
      </c>
      <c r="R250" t="n">
        <v>0</v>
      </c>
      <c r="S250" t="n">
        <v>0</v>
      </c>
      <c r="T250" t="inlineStr">
        <is>
          <t>BSA</t>
        </is>
      </c>
      <c r="U250" t="inlineStr">
        <is>
          <t>BSA</t>
        </is>
      </c>
    </row>
    <row r="251">
      <c r="C251" t="inlineStr">
        <is>
          <t>BSA</t>
        </is>
      </c>
      <c r="D251" t="inlineStr">
        <is>
          <t>BSA</t>
        </is>
      </c>
      <c r="E251" t="inlineStr">
        <is>
          <t>당월</t>
        </is>
      </c>
      <c r="F251" t="inlineStr">
        <is>
          <t>6월 5주차</t>
        </is>
      </c>
      <c r="G251" t="inlineStr">
        <is>
          <t>네이버</t>
        </is>
      </c>
      <c r="H251" s="13" t="n">
        <v>45112</v>
      </c>
      <c r="I251" t="inlineStr">
        <is>
          <t>PC</t>
        </is>
      </c>
      <c r="J251" t="inlineStr">
        <is>
          <t>00.브랜드검색PCMO</t>
        </is>
      </c>
      <c r="K251" t="inlineStr">
        <is>
          <t>01.PC브랜드검색</t>
        </is>
      </c>
      <c r="M251" t="n">
        <v>0</v>
      </c>
      <c r="N251" t="n">
        <v>0</v>
      </c>
      <c r="O251" t="n">
        <v>36666.66666666666</v>
      </c>
      <c r="P251" t="n">
        <v>0</v>
      </c>
      <c r="Q251" t="n">
        <v>0</v>
      </c>
      <c r="R251" t="n">
        <v>0</v>
      </c>
      <c r="S251" t="n">
        <v>0</v>
      </c>
      <c r="T251" t="inlineStr">
        <is>
          <t>BSA</t>
        </is>
      </c>
      <c r="U251" t="inlineStr">
        <is>
          <t>BSA</t>
        </is>
      </c>
    </row>
    <row r="252">
      <c r="C252" t="inlineStr">
        <is>
          <t>BSA</t>
        </is>
      </c>
      <c r="D252" t="inlineStr">
        <is>
          <t>BSA</t>
        </is>
      </c>
      <c r="E252" t="inlineStr">
        <is>
          <t>당월</t>
        </is>
      </c>
      <c r="F252" t="inlineStr">
        <is>
          <t>6월 5주차</t>
        </is>
      </c>
      <c r="G252" t="inlineStr">
        <is>
          <t>네이버</t>
        </is>
      </c>
      <c r="H252" s="13" t="n">
        <v>45112</v>
      </c>
      <c r="I252" t="inlineStr">
        <is>
          <t>MO</t>
        </is>
      </c>
      <c r="J252" t="inlineStr">
        <is>
          <t>00.브랜드검색PCMO</t>
        </is>
      </c>
      <c r="K252" t="inlineStr">
        <is>
          <t>01.MO브랜드검색</t>
        </is>
      </c>
      <c r="M252" t="n">
        <v>0</v>
      </c>
      <c r="N252" t="n">
        <v>0</v>
      </c>
      <c r="O252" t="n">
        <v>51333.33333333334</v>
      </c>
      <c r="P252" t="n">
        <v>0</v>
      </c>
      <c r="Q252" t="n">
        <v>0</v>
      </c>
      <c r="R252" t="n">
        <v>0</v>
      </c>
      <c r="S252" t="n">
        <v>0</v>
      </c>
      <c r="T252" t="inlineStr">
        <is>
          <t>BSA</t>
        </is>
      </c>
      <c r="U252" t="inlineStr">
        <is>
          <t>BSA</t>
        </is>
      </c>
    </row>
    <row r="253">
      <c r="C253" t="inlineStr">
        <is>
          <t>BSA</t>
        </is>
      </c>
      <c r="D253" t="inlineStr">
        <is>
          <t>BSA</t>
        </is>
      </c>
      <c r="E253" t="inlineStr">
        <is>
          <t>당월</t>
        </is>
      </c>
      <c r="F253" t="inlineStr">
        <is>
          <t>6월 5주차</t>
        </is>
      </c>
      <c r="G253" t="inlineStr">
        <is>
          <t>네이버</t>
        </is>
      </c>
      <c r="H253" s="13" t="n">
        <v>45113</v>
      </c>
      <c r="I253" t="inlineStr">
        <is>
          <t>PC</t>
        </is>
      </c>
      <c r="J253" t="inlineStr">
        <is>
          <t>00.브랜드검색PCMO</t>
        </is>
      </c>
      <c r="K253" t="inlineStr">
        <is>
          <t>01.PC브랜드검색</t>
        </is>
      </c>
      <c r="M253" t="n">
        <v>0</v>
      </c>
      <c r="N253" t="n">
        <v>0</v>
      </c>
      <c r="O253" t="n">
        <v>36666.66666666666</v>
      </c>
      <c r="P253" t="n">
        <v>0</v>
      </c>
      <c r="Q253" t="n">
        <v>0</v>
      </c>
      <c r="R253" t="n">
        <v>0</v>
      </c>
      <c r="S253" t="n">
        <v>0</v>
      </c>
      <c r="T253" t="inlineStr">
        <is>
          <t>BSA</t>
        </is>
      </c>
      <c r="U253" t="inlineStr">
        <is>
          <t>BSA</t>
        </is>
      </c>
    </row>
    <row r="254">
      <c r="C254" t="inlineStr">
        <is>
          <t>BSA</t>
        </is>
      </c>
      <c r="D254" t="inlineStr">
        <is>
          <t>BSA</t>
        </is>
      </c>
      <c r="E254" t="inlineStr">
        <is>
          <t>당월</t>
        </is>
      </c>
      <c r="F254" t="inlineStr">
        <is>
          <t>6월 5주차</t>
        </is>
      </c>
      <c r="G254" t="inlineStr">
        <is>
          <t>네이버</t>
        </is>
      </c>
      <c r="H254" s="13" t="n">
        <v>45113</v>
      </c>
      <c r="I254" t="inlineStr">
        <is>
          <t>MO</t>
        </is>
      </c>
      <c r="J254" t="inlineStr">
        <is>
          <t>00.브랜드검색PCMO</t>
        </is>
      </c>
      <c r="K254" t="inlineStr">
        <is>
          <t>01.MO브랜드검색</t>
        </is>
      </c>
      <c r="M254" t="n">
        <v>0</v>
      </c>
      <c r="N254" t="n">
        <v>0</v>
      </c>
      <c r="O254" t="n">
        <v>51333.33333333334</v>
      </c>
      <c r="P254" t="n">
        <v>0</v>
      </c>
      <c r="Q254" t="n">
        <v>0</v>
      </c>
      <c r="R254" t="n">
        <v>0</v>
      </c>
      <c r="S254" t="n">
        <v>0</v>
      </c>
      <c r="T254" t="inlineStr">
        <is>
          <t>BSA</t>
        </is>
      </c>
      <c r="U254" t="inlineStr">
        <is>
          <t>BSA</t>
        </is>
      </c>
    </row>
    <row r="255">
      <c r="C255" t="inlineStr">
        <is>
          <t>BSA</t>
        </is>
      </c>
      <c r="D255" t="inlineStr">
        <is>
          <t>BSA</t>
        </is>
      </c>
      <c r="E255" t="inlineStr">
        <is>
          <t>당월</t>
        </is>
      </c>
      <c r="F255" t="inlineStr">
        <is>
          <t>6월 5주차</t>
        </is>
      </c>
      <c r="G255" t="inlineStr">
        <is>
          <t>네이버</t>
        </is>
      </c>
      <c r="H255" s="13" t="n">
        <v>45114</v>
      </c>
      <c r="I255" t="inlineStr">
        <is>
          <t>PC</t>
        </is>
      </c>
      <c r="J255" t="inlineStr">
        <is>
          <t>00.브랜드검색PCMO</t>
        </is>
      </c>
      <c r="K255" t="inlineStr">
        <is>
          <t>01.PC브랜드검색</t>
        </is>
      </c>
      <c r="M255" t="n">
        <v>0</v>
      </c>
      <c r="N255" t="n">
        <v>0</v>
      </c>
      <c r="O255" t="n">
        <v>36666.66666666666</v>
      </c>
      <c r="P255" t="n">
        <v>0</v>
      </c>
      <c r="Q255" t="n">
        <v>0</v>
      </c>
      <c r="R255" t="n">
        <v>0</v>
      </c>
      <c r="S255" t="n">
        <v>0</v>
      </c>
      <c r="T255" t="inlineStr">
        <is>
          <t>BSA</t>
        </is>
      </c>
      <c r="U255" t="inlineStr">
        <is>
          <t>BSA</t>
        </is>
      </c>
    </row>
    <row r="256">
      <c r="C256" t="inlineStr">
        <is>
          <t>BSA</t>
        </is>
      </c>
      <c r="D256" t="inlineStr">
        <is>
          <t>BSA</t>
        </is>
      </c>
      <c r="E256" t="inlineStr">
        <is>
          <t>당월</t>
        </is>
      </c>
      <c r="F256" t="inlineStr">
        <is>
          <t>6월 5주차</t>
        </is>
      </c>
      <c r="G256" t="inlineStr">
        <is>
          <t>네이버</t>
        </is>
      </c>
      <c r="H256" s="13" t="n">
        <v>45114</v>
      </c>
      <c r="I256" t="inlineStr">
        <is>
          <t>MO</t>
        </is>
      </c>
      <c r="J256" t="inlineStr">
        <is>
          <t>00.브랜드검색PCMO</t>
        </is>
      </c>
      <c r="K256" t="inlineStr">
        <is>
          <t>01.MO브랜드검색</t>
        </is>
      </c>
      <c r="M256" t="n">
        <v>0</v>
      </c>
      <c r="N256" t="n">
        <v>0</v>
      </c>
      <c r="O256" t="n">
        <v>51333.33333333334</v>
      </c>
      <c r="P256" t="n">
        <v>0</v>
      </c>
      <c r="Q256" t="n">
        <v>0</v>
      </c>
      <c r="R256" t="n">
        <v>0</v>
      </c>
      <c r="S256" t="n">
        <v>0</v>
      </c>
      <c r="T256" t="inlineStr">
        <is>
          <t>BSA</t>
        </is>
      </c>
      <c r="U256" t="inlineStr">
        <is>
          <t>BSA</t>
        </is>
      </c>
    </row>
    <row r="257">
      <c r="C257" t="inlineStr">
        <is>
          <t>BSA</t>
        </is>
      </c>
      <c r="D257" t="inlineStr">
        <is>
          <t>BSA</t>
        </is>
      </c>
      <c r="E257" t="inlineStr">
        <is>
          <t>당월</t>
        </is>
      </c>
      <c r="F257" t="inlineStr">
        <is>
          <t>7월 1주차</t>
        </is>
      </c>
      <c r="G257" t="inlineStr">
        <is>
          <t>네이버</t>
        </is>
      </c>
      <c r="H257" s="13" t="n">
        <v>45115</v>
      </c>
      <c r="I257" t="inlineStr">
        <is>
          <t>PC</t>
        </is>
      </c>
      <c r="J257" t="inlineStr">
        <is>
          <t>00.브랜드검색PCMO</t>
        </is>
      </c>
      <c r="K257" t="inlineStr">
        <is>
          <t>01.PC브랜드검색</t>
        </is>
      </c>
      <c r="M257" t="n">
        <v>0</v>
      </c>
      <c r="N257" t="n">
        <v>0</v>
      </c>
      <c r="O257" t="n">
        <v>36666.66666666666</v>
      </c>
      <c r="P257" t="n">
        <v>0</v>
      </c>
      <c r="Q257" t="n">
        <v>0</v>
      </c>
      <c r="R257" t="n">
        <v>0</v>
      </c>
      <c r="S257" t="n">
        <v>0</v>
      </c>
      <c r="T257" t="inlineStr">
        <is>
          <t>BSA</t>
        </is>
      </c>
      <c r="U257" t="inlineStr">
        <is>
          <t>BSA</t>
        </is>
      </c>
    </row>
    <row r="258">
      <c r="C258" t="inlineStr">
        <is>
          <t>BSA</t>
        </is>
      </c>
      <c r="D258" t="inlineStr">
        <is>
          <t>BSA</t>
        </is>
      </c>
      <c r="E258" t="inlineStr">
        <is>
          <t>당월</t>
        </is>
      </c>
      <c r="F258" t="inlineStr">
        <is>
          <t>7월 1주차</t>
        </is>
      </c>
      <c r="G258" t="inlineStr">
        <is>
          <t>네이버</t>
        </is>
      </c>
      <c r="H258" s="13" t="n">
        <v>45115</v>
      </c>
      <c r="I258" t="inlineStr">
        <is>
          <t>MO</t>
        </is>
      </c>
      <c r="J258" t="inlineStr">
        <is>
          <t>00.브랜드검색PCMO</t>
        </is>
      </c>
      <c r="K258" t="inlineStr">
        <is>
          <t>01.MO브랜드검색</t>
        </is>
      </c>
      <c r="M258" t="n">
        <v>0</v>
      </c>
      <c r="N258" t="n">
        <v>0</v>
      </c>
      <c r="O258" t="n">
        <v>51333.33333333334</v>
      </c>
      <c r="P258" t="n">
        <v>0</v>
      </c>
      <c r="Q258" t="n">
        <v>0</v>
      </c>
      <c r="R258" t="n">
        <v>0</v>
      </c>
      <c r="S258" t="n">
        <v>0</v>
      </c>
      <c r="T258" t="inlineStr">
        <is>
          <t>BSA</t>
        </is>
      </c>
      <c r="U258" t="inlineStr">
        <is>
          <t>BSA</t>
        </is>
      </c>
    </row>
    <row r="259">
      <c r="C259" t="inlineStr">
        <is>
          <t>BSA</t>
        </is>
      </c>
      <c r="D259" t="inlineStr">
        <is>
          <t>BSA</t>
        </is>
      </c>
      <c r="E259" t="inlineStr">
        <is>
          <t>당월</t>
        </is>
      </c>
      <c r="F259" t="inlineStr">
        <is>
          <t>7월 1주차</t>
        </is>
      </c>
      <c r="G259" t="inlineStr">
        <is>
          <t>네이버</t>
        </is>
      </c>
      <c r="H259" s="13" t="n">
        <v>45116</v>
      </c>
      <c r="I259" t="inlineStr">
        <is>
          <t>PC</t>
        </is>
      </c>
      <c r="J259" t="inlineStr">
        <is>
          <t>00.브랜드검색PCMO</t>
        </is>
      </c>
      <c r="K259" t="inlineStr">
        <is>
          <t>01.PC브랜드검색</t>
        </is>
      </c>
      <c r="M259" t="n">
        <v>0</v>
      </c>
      <c r="N259" t="n">
        <v>0</v>
      </c>
      <c r="O259" t="n">
        <v>36666.66666666666</v>
      </c>
      <c r="P259" t="n">
        <v>0</v>
      </c>
      <c r="Q259" t="n">
        <v>0</v>
      </c>
      <c r="R259" t="n">
        <v>0</v>
      </c>
      <c r="S259" t="n">
        <v>0</v>
      </c>
      <c r="T259" t="inlineStr">
        <is>
          <t>BSA</t>
        </is>
      </c>
      <c r="U259" t="inlineStr">
        <is>
          <t>BSA</t>
        </is>
      </c>
    </row>
    <row r="260">
      <c r="C260" t="inlineStr">
        <is>
          <t>BSA</t>
        </is>
      </c>
      <c r="D260" t="inlineStr">
        <is>
          <t>BSA</t>
        </is>
      </c>
      <c r="E260" t="inlineStr">
        <is>
          <t>당월</t>
        </is>
      </c>
      <c r="F260" t="inlineStr">
        <is>
          <t>7월 1주차</t>
        </is>
      </c>
      <c r="G260" t="inlineStr">
        <is>
          <t>네이버</t>
        </is>
      </c>
      <c r="H260" s="13" t="n">
        <v>45116</v>
      </c>
      <c r="I260" t="inlineStr">
        <is>
          <t>MO</t>
        </is>
      </c>
      <c r="J260" t="inlineStr">
        <is>
          <t>00.브랜드검색PCMO</t>
        </is>
      </c>
      <c r="K260" t="inlineStr">
        <is>
          <t>01.MO브랜드검색</t>
        </is>
      </c>
      <c r="M260" t="n">
        <v>0</v>
      </c>
      <c r="N260" t="n">
        <v>0</v>
      </c>
      <c r="O260" t="n">
        <v>51333.33333333334</v>
      </c>
      <c r="P260" t="n">
        <v>0</v>
      </c>
      <c r="Q260" t="n">
        <v>0</v>
      </c>
      <c r="R260" t="n">
        <v>0</v>
      </c>
      <c r="S260" t="n">
        <v>0</v>
      </c>
      <c r="T260" t="inlineStr">
        <is>
          <t>BSA</t>
        </is>
      </c>
      <c r="U260" t="inlineStr">
        <is>
          <t>BSA</t>
        </is>
      </c>
    </row>
    <row r="264">
      <c r="C264" t="inlineStr">
        <is>
          <t>BSA</t>
        </is>
      </c>
      <c r="D264" t="inlineStr">
        <is>
          <t>BSA</t>
        </is>
      </c>
      <c r="E264" t="inlineStr">
        <is>
          <t>당월</t>
        </is>
      </c>
      <c r="F264" t="inlineStr">
        <is>
          <t>6월 5주차</t>
        </is>
      </c>
      <c r="G264" t="inlineStr">
        <is>
          <t>네이버</t>
        </is>
      </c>
      <c r="H264" t="n">
        <v>45110</v>
      </c>
      <c r="I264" t="inlineStr">
        <is>
          <t>PC</t>
        </is>
      </c>
      <c r="J264" t="inlineStr">
        <is>
          <t>00.브랜드검색PCMO</t>
        </is>
      </c>
      <c r="K264" t="inlineStr">
        <is>
          <t>01.PC브랜드검색</t>
        </is>
      </c>
      <c r="M264" t="n">
        <v>0</v>
      </c>
      <c r="N264" t="n">
        <v>0</v>
      </c>
      <c r="O264" t="n">
        <v>36666.66666666666</v>
      </c>
      <c r="P264" t="n">
        <v>0</v>
      </c>
      <c r="Q264" t="n">
        <v>0</v>
      </c>
      <c r="R264" t="n">
        <v>0</v>
      </c>
      <c r="S264" t="n">
        <v>0</v>
      </c>
      <c r="T264" t="inlineStr">
        <is>
          <t>BSA</t>
        </is>
      </c>
      <c r="U264" t="inlineStr">
        <is>
          <t>BSA</t>
        </is>
      </c>
    </row>
    <row r="265">
      <c r="C265" t="inlineStr">
        <is>
          <t>BSA</t>
        </is>
      </c>
      <c r="D265" t="inlineStr">
        <is>
          <t>BSA</t>
        </is>
      </c>
      <c r="E265" t="inlineStr">
        <is>
          <t>당월</t>
        </is>
      </c>
      <c r="F265" t="inlineStr">
        <is>
          <t>6월 5주차</t>
        </is>
      </c>
      <c r="G265" t="inlineStr">
        <is>
          <t>네이버</t>
        </is>
      </c>
      <c r="H265" s="13" t="n">
        <v>45110</v>
      </c>
      <c r="I265" t="inlineStr">
        <is>
          <t>MO</t>
        </is>
      </c>
      <c r="J265" t="inlineStr">
        <is>
          <t>00.브랜드검색PCMO</t>
        </is>
      </c>
      <c r="K265" t="inlineStr">
        <is>
          <t>01.MO브랜드검색</t>
        </is>
      </c>
      <c r="M265" t="n">
        <v>0</v>
      </c>
      <c r="N265" t="n">
        <v>0</v>
      </c>
      <c r="O265" t="n">
        <v>51333.33333333334</v>
      </c>
      <c r="P265" t="n">
        <v>0</v>
      </c>
      <c r="Q265" t="n">
        <v>0</v>
      </c>
      <c r="R265" t="n">
        <v>0</v>
      </c>
      <c r="S265" t="n">
        <v>0</v>
      </c>
      <c r="T265" t="inlineStr">
        <is>
          <t>BSA</t>
        </is>
      </c>
      <c r="U265" t="inlineStr">
        <is>
          <t>BSA</t>
        </is>
      </c>
    </row>
    <row r="266">
      <c r="C266" t="inlineStr">
        <is>
          <t>BSA</t>
        </is>
      </c>
      <c r="D266" t="inlineStr">
        <is>
          <t>BSA</t>
        </is>
      </c>
      <c r="E266" t="inlineStr">
        <is>
          <t>당월</t>
        </is>
      </c>
      <c r="F266" t="inlineStr">
        <is>
          <t>6월 5주차</t>
        </is>
      </c>
      <c r="G266" t="inlineStr">
        <is>
          <t>네이버</t>
        </is>
      </c>
      <c r="H266" s="13" t="n">
        <v>45111</v>
      </c>
      <c r="I266" t="inlineStr">
        <is>
          <t>PC</t>
        </is>
      </c>
      <c r="J266" t="inlineStr">
        <is>
          <t>00.브랜드검색PCMO</t>
        </is>
      </c>
      <c r="K266" t="inlineStr">
        <is>
          <t>01.PC브랜드검색</t>
        </is>
      </c>
      <c r="M266" t="n">
        <v>0</v>
      </c>
      <c r="N266" t="n">
        <v>0</v>
      </c>
      <c r="O266" t="n">
        <v>36666.66666666666</v>
      </c>
      <c r="P266" t="n">
        <v>0</v>
      </c>
      <c r="Q266" t="n">
        <v>0</v>
      </c>
      <c r="R266" t="n">
        <v>0</v>
      </c>
      <c r="S266" t="n">
        <v>0</v>
      </c>
      <c r="T266" t="inlineStr">
        <is>
          <t>BSA</t>
        </is>
      </c>
      <c r="U266" t="inlineStr">
        <is>
          <t>BSA</t>
        </is>
      </c>
    </row>
    <row r="267">
      <c r="C267" t="inlineStr">
        <is>
          <t>BSA</t>
        </is>
      </c>
      <c r="D267" t="inlineStr">
        <is>
          <t>BSA</t>
        </is>
      </c>
      <c r="E267" t="inlineStr">
        <is>
          <t>당월</t>
        </is>
      </c>
      <c r="F267" t="inlineStr">
        <is>
          <t>6월 5주차</t>
        </is>
      </c>
      <c r="G267" t="inlineStr">
        <is>
          <t>네이버</t>
        </is>
      </c>
      <c r="H267" s="13" t="n">
        <v>45111</v>
      </c>
      <c r="I267" t="inlineStr">
        <is>
          <t>MO</t>
        </is>
      </c>
      <c r="J267" t="inlineStr">
        <is>
          <t>00.브랜드검색PCMO</t>
        </is>
      </c>
      <c r="K267" t="inlineStr">
        <is>
          <t>01.MO브랜드검색</t>
        </is>
      </c>
      <c r="M267" t="n">
        <v>0</v>
      </c>
      <c r="N267" t="n">
        <v>0</v>
      </c>
      <c r="O267" t="n">
        <v>51333.33333333334</v>
      </c>
      <c r="P267" t="n">
        <v>0</v>
      </c>
      <c r="Q267" t="n">
        <v>0</v>
      </c>
      <c r="R267" t="n">
        <v>0</v>
      </c>
      <c r="S267" t="n">
        <v>0</v>
      </c>
      <c r="T267" t="inlineStr">
        <is>
          <t>BSA</t>
        </is>
      </c>
      <c r="U267" t="inlineStr">
        <is>
          <t>BSA</t>
        </is>
      </c>
    </row>
    <row r="268">
      <c r="C268" t="inlineStr">
        <is>
          <t>BSA</t>
        </is>
      </c>
      <c r="D268" t="inlineStr">
        <is>
          <t>BSA</t>
        </is>
      </c>
      <c r="E268" t="inlineStr">
        <is>
          <t>당월</t>
        </is>
      </c>
      <c r="F268" t="inlineStr">
        <is>
          <t>6월 5주차</t>
        </is>
      </c>
      <c r="G268" t="inlineStr">
        <is>
          <t>네이버</t>
        </is>
      </c>
      <c r="H268" s="13" t="n">
        <v>45112</v>
      </c>
      <c r="I268" t="inlineStr">
        <is>
          <t>PC</t>
        </is>
      </c>
      <c r="J268" t="inlineStr">
        <is>
          <t>00.브랜드검색PCMO</t>
        </is>
      </c>
      <c r="K268" t="inlineStr">
        <is>
          <t>01.PC브랜드검색</t>
        </is>
      </c>
      <c r="M268" t="n">
        <v>0</v>
      </c>
      <c r="N268" t="n">
        <v>0</v>
      </c>
      <c r="O268" t="n">
        <v>36666.66666666666</v>
      </c>
      <c r="P268" t="n">
        <v>0</v>
      </c>
      <c r="Q268" t="n">
        <v>0</v>
      </c>
      <c r="R268" t="n">
        <v>0</v>
      </c>
      <c r="S268" t="n">
        <v>0</v>
      </c>
      <c r="T268" t="inlineStr">
        <is>
          <t>BSA</t>
        </is>
      </c>
      <c r="U268" t="inlineStr">
        <is>
          <t>BSA</t>
        </is>
      </c>
    </row>
    <row r="269">
      <c r="C269" t="inlineStr">
        <is>
          <t>BSA</t>
        </is>
      </c>
      <c r="D269" t="inlineStr">
        <is>
          <t>BSA</t>
        </is>
      </c>
      <c r="E269" t="inlineStr">
        <is>
          <t>당월</t>
        </is>
      </c>
      <c r="F269" t="inlineStr">
        <is>
          <t>6월 5주차</t>
        </is>
      </c>
      <c r="G269" t="inlineStr">
        <is>
          <t>네이버</t>
        </is>
      </c>
      <c r="H269" s="13" t="n">
        <v>45112</v>
      </c>
      <c r="I269" t="inlineStr">
        <is>
          <t>MO</t>
        </is>
      </c>
      <c r="J269" t="inlineStr">
        <is>
          <t>00.브랜드검색PCMO</t>
        </is>
      </c>
      <c r="K269" t="inlineStr">
        <is>
          <t>01.MO브랜드검색</t>
        </is>
      </c>
      <c r="M269" t="n">
        <v>0</v>
      </c>
      <c r="N269" t="n">
        <v>0</v>
      </c>
      <c r="O269" t="n">
        <v>51333.33333333334</v>
      </c>
      <c r="P269" t="n">
        <v>0</v>
      </c>
      <c r="Q269" t="n">
        <v>0</v>
      </c>
      <c r="R269" t="n">
        <v>0</v>
      </c>
      <c r="S269" t="n">
        <v>0</v>
      </c>
      <c r="T269" t="inlineStr">
        <is>
          <t>BSA</t>
        </is>
      </c>
      <c r="U269" t="inlineStr">
        <is>
          <t>BSA</t>
        </is>
      </c>
    </row>
    <row r="270">
      <c r="C270" t="inlineStr">
        <is>
          <t>BSA</t>
        </is>
      </c>
      <c r="D270" t="inlineStr">
        <is>
          <t>BSA</t>
        </is>
      </c>
      <c r="E270" t="inlineStr">
        <is>
          <t>당월</t>
        </is>
      </c>
      <c r="F270" t="inlineStr">
        <is>
          <t>6월 5주차</t>
        </is>
      </c>
      <c r="G270" t="inlineStr">
        <is>
          <t>네이버</t>
        </is>
      </c>
      <c r="H270" s="13" t="n">
        <v>45113</v>
      </c>
      <c r="I270" t="inlineStr">
        <is>
          <t>PC</t>
        </is>
      </c>
      <c r="J270" t="inlineStr">
        <is>
          <t>00.브랜드검색PCMO</t>
        </is>
      </c>
      <c r="K270" t="inlineStr">
        <is>
          <t>01.PC브랜드검색</t>
        </is>
      </c>
      <c r="M270" t="n">
        <v>0</v>
      </c>
      <c r="N270" t="n">
        <v>0</v>
      </c>
      <c r="O270" t="n">
        <v>36666.66666666666</v>
      </c>
      <c r="P270" t="n">
        <v>0</v>
      </c>
      <c r="Q270" t="n">
        <v>0</v>
      </c>
      <c r="R270" t="n">
        <v>0</v>
      </c>
      <c r="S270" t="n">
        <v>0</v>
      </c>
      <c r="T270" t="inlineStr">
        <is>
          <t>BSA</t>
        </is>
      </c>
      <c r="U270" t="inlineStr">
        <is>
          <t>BSA</t>
        </is>
      </c>
    </row>
    <row r="271">
      <c r="C271" t="inlineStr">
        <is>
          <t>BSA</t>
        </is>
      </c>
      <c r="D271" t="inlineStr">
        <is>
          <t>BSA</t>
        </is>
      </c>
      <c r="E271" t="inlineStr">
        <is>
          <t>당월</t>
        </is>
      </c>
      <c r="F271" t="inlineStr">
        <is>
          <t>6월 5주차</t>
        </is>
      </c>
      <c r="G271" t="inlineStr">
        <is>
          <t>네이버</t>
        </is>
      </c>
      <c r="H271" s="13" t="n">
        <v>45113</v>
      </c>
      <c r="I271" t="inlineStr">
        <is>
          <t>MO</t>
        </is>
      </c>
      <c r="J271" t="inlineStr">
        <is>
          <t>00.브랜드검색PCMO</t>
        </is>
      </c>
      <c r="K271" t="inlineStr">
        <is>
          <t>01.MO브랜드검색</t>
        </is>
      </c>
      <c r="M271" t="n">
        <v>0</v>
      </c>
      <c r="N271" t="n">
        <v>0</v>
      </c>
      <c r="O271" t="n">
        <v>51333.33333333334</v>
      </c>
      <c r="P271" t="n">
        <v>0</v>
      </c>
      <c r="Q271" t="n">
        <v>0</v>
      </c>
      <c r="R271" t="n">
        <v>0</v>
      </c>
      <c r="S271" t="n">
        <v>0</v>
      </c>
      <c r="T271" t="inlineStr">
        <is>
          <t>BSA</t>
        </is>
      </c>
      <c r="U271" t="inlineStr">
        <is>
          <t>BSA</t>
        </is>
      </c>
    </row>
    <row r="272">
      <c r="C272" t="inlineStr">
        <is>
          <t>BSA</t>
        </is>
      </c>
      <c r="D272" t="inlineStr">
        <is>
          <t>BSA</t>
        </is>
      </c>
      <c r="E272" t="inlineStr">
        <is>
          <t>당월</t>
        </is>
      </c>
      <c r="F272" t="inlineStr">
        <is>
          <t>6월 5주차</t>
        </is>
      </c>
      <c r="G272" t="inlineStr">
        <is>
          <t>네이버</t>
        </is>
      </c>
      <c r="H272" s="13" t="n">
        <v>45114</v>
      </c>
      <c r="I272" t="inlineStr">
        <is>
          <t>PC</t>
        </is>
      </c>
      <c r="J272" t="inlineStr">
        <is>
          <t>00.브랜드검색PCMO</t>
        </is>
      </c>
      <c r="K272" t="inlineStr">
        <is>
          <t>01.PC브랜드검색</t>
        </is>
      </c>
      <c r="M272" t="n">
        <v>0</v>
      </c>
      <c r="N272" t="n">
        <v>0</v>
      </c>
      <c r="O272" t="n">
        <v>36666.66666666666</v>
      </c>
      <c r="P272" t="n">
        <v>0</v>
      </c>
      <c r="Q272" t="n">
        <v>0</v>
      </c>
      <c r="R272" t="n">
        <v>0</v>
      </c>
      <c r="S272" t="n">
        <v>0</v>
      </c>
      <c r="T272" t="inlineStr">
        <is>
          <t>BSA</t>
        </is>
      </c>
      <c r="U272" t="inlineStr">
        <is>
          <t>BSA</t>
        </is>
      </c>
    </row>
    <row r="273">
      <c r="C273" t="inlineStr">
        <is>
          <t>BSA</t>
        </is>
      </c>
      <c r="D273" t="inlineStr">
        <is>
          <t>BSA</t>
        </is>
      </c>
      <c r="E273" t="inlineStr">
        <is>
          <t>당월</t>
        </is>
      </c>
      <c r="F273" t="inlineStr">
        <is>
          <t>6월 5주차</t>
        </is>
      </c>
      <c r="G273" t="inlineStr">
        <is>
          <t>네이버</t>
        </is>
      </c>
      <c r="H273" s="13" t="n">
        <v>45114</v>
      </c>
      <c r="I273" t="inlineStr">
        <is>
          <t>MO</t>
        </is>
      </c>
      <c r="J273" t="inlineStr">
        <is>
          <t>00.브랜드검색PCMO</t>
        </is>
      </c>
      <c r="K273" t="inlineStr">
        <is>
          <t>01.MO브랜드검색</t>
        </is>
      </c>
      <c r="M273" t="n">
        <v>0</v>
      </c>
      <c r="N273" t="n">
        <v>0</v>
      </c>
      <c r="O273" t="n">
        <v>51333.33333333334</v>
      </c>
      <c r="P273" t="n">
        <v>0</v>
      </c>
      <c r="Q273" t="n">
        <v>0</v>
      </c>
      <c r="R273" t="n">
        <v>0</v>
      </c>
      <c r="S273" t="n">
        <v>0</v>
      </c>
      <c r="T273" t="inlineStr">
        <is>
          <t>BSA</t>
        </is>
      </c>
      <c r="U273" t="inlineStr">
        <is>
          <t>BSA</t>
        </is>
      </c>
    </row>
    <row r="274">
      <c r="C274" t="inlineStr">
        <is>
          <t>BSA</t>
        </is>
      </c>
      <c r="D274" t="inlineStr">
        <is>
          <t>BSA</t>
        </is>
      </c>
      <c r="E274" t="inlineStr">
        <is>
          <t>당월</t>
        </is>
      </c>
      <c r="F274" t="inlineStr">
        <is>
          <t>7월 1주차</t>
        </is>
      </c>
      <c r="G274" t="inlineStr">
        <is>
          <t>네이버</t>
        </is>
      </c>
      <c r="H274" s="13" t="n">
        <v>45115</v>
      </c>
      <c r="I274" t="inlineStr">
        <is>
          <t>PC</t>
        </is>
      </c>
      <c r="J274" t="inlineStr">
        <is>
          <t>00.브랜드검색PCMO</t>
        </is>
      </c>
      <c r="K274" t="inlineStr">
        <is>
          <t>01.PC브랜드검색</t>
        </is>
      </c>
      <c r="M274" t="n">
        <v>0</v>
      </c>
      <c r="N274" t="n">
        <v>0</v>
      </c>
      <c r="O274" t="n">
        <v>36666.66666666666</v>
      </c>
      <c r="P274" t="n">
        <v>0</v>
      </c>
      <c r="Q274" t="n">
        <v>0</v>
      </c>
      <c r="R274" t="n">
        <v>0</v>
      </c>
      <c r="S274" t="n">
        <v>0</v>
      </c>
      <c r="T274" t="inlineStr">
        <is>
          <t>BSA</t>
        </is>
      </c>
      <c r="U274" t="inlineStr">
        <is>
          <t>BSA</t>
        </is>
      </c>
    </row>
    <row r="275">
      <c r="C275" t="inlineStr">
        <is>
          <t>BSA</t>
        </is>
      </c>
      <c r="D275" t="inlineStr">
        <is>
          <t>BSA</t>
        </is>
      </c>
      <c r="E275" t="inlineStr">
        <is>
          <t>당월</t>
        </is>
      </c>
      <c r="F275" t="inlineStr">
        <is>
          <t>7월 1주차</t>
        </is>
      </c>
      <c r="G275" t="inlineStr">
        <is>
          <t>네이버</t>
        </is>
      </c>
      <c r="H275" s="13" t="n">
        <v>45115</v>
      </c>
      <c r="I275" t="inlineStr">
        <is>
          <t>MO</t>
        </is>
      </c>
      <c r="J275" t="inlineStr">
        <is>
          <t>00.브랜드검색PCMO</t>
        </is>
      </c>
      <c r="K275" t="inlineStr">
        <is>
          <t>01.MO브랜드검색</t>
        </is>
      </c>
      <c r="M275" t="n">
        <v>0</v>
      </c>
      <c r="N275" t="n">
        <v>0</v>
      </c>
      <c r="O275" t="n">
        <v>51333.33333333334</v>
      </c>
      <c r="P275" t="n">
        <v>0</v>
      </c>
      <c r="Q275" t="n">
        <v>0</v>
      </c>
      <c r="R275" t="n">
        <v>0</v>
      </c>
      <c r="S275" t="n">
        <v>0</v>
      </c>
      <c r="T275" t="inlineStr">
        <is>
          <t>BSA</t>
        </is>
      </c>
      <c r="U275" t="inlineStr">
        <is>
          <t>BSA</t>
        </is>
      </c>
    </row>
    <row r="276">
      <c r="C276" t="inlineStr">
        <is>
          <t>BSA</t>
        </is>
      </c>
      <c r="D276" t="inlineStr">
        <is>
          <t>BSA</t>
        </is>
      </c>
      <c r="E276" t="inlineStr">
        <is>
          <t>당월</t>
        </is>
      </c>
      <c r="F276" t="inlineStr">
        <is>
          <t>7월 1주차</t>
        </is>
      </c>
      <c r="G276" t="inlineStr">
        <is>
          <t>네이버</t>
        </is>
      </c>
      <c r="H276" s="13" t="n">
        <v>45116</v>
      </c>
      <c r="I276" t="inlineStr">
        <is>
          <t>PC</t>
        </is>
      </c>
      <c r="J276" t="inlineStr">
        <is>
          <t>00.브랜드검색PCMO</t>
        </is>
      </c>
      <c r="K276" t="inlineStr">
        <is>
          <t>01.PC브랜드검색</t>
        </is>
      </c>
      <c r="M276" t="n">
        <v>0</v>
      </c>
      <c r="N276" t="n">
        <v>0</v>
      </c>
      <c r="O276" t="n">
        <v>36666.66666666666</v>
      </c>
      <c r="P276" t="n">
        <v>0</v>
      </c>
      <c r="Q276" t="n">
        <v>0</v>
      </c>
      <c r="R276" t="n">
        <v>0</v>
      </c>
      <c r="S276" t="n">
        <v>0</v>
      </c>
      <c r="T276" t="inlineStr">
        <is>
          <t>BSA</t>
        </is>
      </c>
      <c r="U276" t="inlineStr">
        <is>
          <t>BSA</t>
        </is>
      </c>
    </row>
    <row r="277">
      <c r="C277" t="inlineStr">
        <is>
          <t>BSA</t>
        </is>
      </c>
      <c r="D277" t="inlineStr">
        <is>
          <t>BSA</t>
        </is>
      </c>
      <c r="E277" t="inlineStr">
        <is>
          <t>당월</t>
        </is>
      </c>
      <c r="F277" t="inlineStr">
        <is>
          <t>7월 1주차</t>
        </is>
      </c>
      <c r="G277" t="inlineStr">
        <is>
          <t>네이버</t>
        </is>
      </c>
      <c r="H277" s="13" t="n">
        <v>45116</v>
      </c>
      <c r="I277" t="inlineStr">
        <is>
          <t>MO</t>
        </is>
      </c>
      <c r="J277" t="inlineStr">
        <is>
          <t>00.브랜드검색PCMO</t>
        </is>
      </c>
      <c r="K277" t="inlineStr">
        <is>
          <t>01.MO브랜드검색</t>
        </is>
      </c>
      <c r="M277" t="n">
        <v>0</v>
      </c>
      <c r="N277" t="n">
        <v>0</v>
      </c>
      <c r="O277" t="n">
        <v>51333.33333333334</v>
      </c>
      <c r="P277" t="n">
        <v>0</v>
      </c>
      <c r="Q277" t="n">
        <v>0</v>
      </c>
      <c r="R277" t="n">
        <v>0</v>
      </c>
      <c r="S277" t="n">
        <v>0</v>
      </c>
      <c r="T277" t="inlineStr">
        <is>
          <t>BSA</t>
        </is>
      </c>
      <c r="U277" t="inlineStr">
        <is>
          <t>BSA</t>
        </is>
      </c>
    </row>
    <row r="281">
      <c r="H281" s="13" t="n">
        <v>45116</v>
      </c>
    </row>
    <row r="282">
      <c r="H282" s="13" t="n">
        <v>45117</v>
      </c>
    </row>
    <row r="283">
      <c r="H283" s="13" t="n">
        <v>45118</v>
      </c>
    </row>
    <row r="284">
      <c r="H284" s="13" t="n">
        <v>45119</v>
      </c>
    </row>
    <row r="285">
      <c r="H285" s="13" t="n">
        <v>45120</v>
      </c>
    </row>
    <row r="286">
      <c r="H286" s="13" t="n">
        <v>45121</v>
      </c>
    </row>
    <row r="287">
      <c r="H287" s="13" t="n">
        <v>45122</v>
      </c>
    </row>
    <row r="288">
      <c r="H288" s="13" t="n">
        <v>45123</v>
      </c>
    </row>
    <row r="292">
      <c r="C292" t="inlineStr">
        <is>
          <t>BSA</t>
        </is>
      </c>
      <c r="D292" t="inlineStr">
        <is>
          <t>BSA</t>
        </is>
      </c>
      <c r="E292" t="inlineStr">
        <is>
          <t>당월</t>
        </is>
      </c>
      <c r="F292" t="inlineStr">
        <is>
          <t>7월 3주차</t>
        </is>
      </c>
      <c r="G292" t="inlineStr">
        <is>
          <t>네이버</t>
        </is>
      </c>
      <c r="H292" s="13" t="n">
        <v>45117</v>
      </c>
      <c r="I292" t="inlineStr">
        <is>
          <t>PC</t>
        </is>
      </c>
      <c r="J292" t="inlineStr">
        <is>
          <t>00.브랜드검색PCMO</t>
        </is>
      </c>
      <c r="K292" t="inlineStr">
        <is>
          <t>01.PC브랜드검색</t>
        </is>
      </c>
      <c r="M292" t="n">
        <v>0</v>
      </c>
      <c r="N292" t="n">
        <v>0</v>
      </c>
      <c r="O292" t="n">
        <v>36666.66666666666</v>
      </c>
      <c r="P292" t="n">
        <v>0</v>
      </c>
      <c r="Q292" t="n">
        <v>0</v>
      </c>
      <c r="R292" t="n">
        <v>0</v>
      </c>
      <c r="S292" t="n">
        <v>0</v>
      </c>
      <c r="T292" t="inlineStr">
        <is>
          <t>BSA</t>
        </is>
      </c>
      <c r="U292" t="inlineStr">
        <is>
          <t>BSA</t>
        </is>
      </c>
    </row>
    <row r="293">
      <c r="C293" t="inlineStr">
        <is>
          <t>BSA</t>
        </is>
      </c>
      <c r="D293" t="inlineStr">
        <is>
          <t>BSA</t>
        </is>
      </c>
      <c r="E293" t="inlineStr">
        <is>
          <t>당월</t>
        </is>
      </c>
      <c r="F293" t="inlineStr">
        <is>
          <t>7월 3주차</t>
        </is>
      </c>
      <c r="G293" t="inlineStr">
        <is>
          <t>네이버</t>
        </is>
      </c>
      <c r="H293" s="13" t="n">
        <v>45117</v>
      </c>
      <c r="I293" t="inlineStr">
        <is>
          <t>MO</t>
        </is>
      </c>
      <c r="J293" t="inlineStr">
        <is>
          <t>00.브랜드검색PCMO</t>
        </is>
      </c>
      <c r="K293" t="inlineStr">
        <is>
          <t>01.MO브랜드검색</t>
        </is>
      </c>
      <c r="M293" t="n">
        <v>0</v>
      </c>
      <c r="N293" t="n">
        <v>0</v>
      </c>
      <c r="O293" t="n">
        <v>51333.33333333334</v>
      </c>
      <c r="P293" t="n">
        <v>0</v>
      </c>
      <c r="Q293" t="n">
        <v>0</v>
      </c>
      <c r="R293" t="n">
        <v>0</v>
      </c>
      <c r="S293" t="n">
        <v>0</v>
      </c>
      <c r="T293" t="inlineStr">
        <is>
          <t>BSA</t>
        </is>
      </c>
      <c r="U293" t="inlineStr">
        <is>
          <t>BSA</t>
        </is>
      </c>
    </row>
    <row r="294">
      <c r="C294" t="inlineStr">
        <is>
          <t>BSA</t>
        </is>
      </c>
      <c r="D294" t="inlineStr">
        <is>
          <t>BSA</t>
        </is>
      </c>
      <c r="E294" t="inlineStr">
        <is>
          <t>당월</t>
        </is>
      </c>
      <c r="F294" t="inlineStr">
        <is>
          <t>7월 3주차</t>
        </is>
      </c>
      <c r="G294" t="inlineStr">
        <is>
          <t>네이버</t>
        </is>
      </c>
      <c r="H294" s="13" t="n">
        <v>45118</v>
      </c>
      <c r="I294" t="inlineStr">
        <is>
          <t>PC</t>
        </is>
      </c>
      <c r="J294" t="inlineStr">
        <is>
          <t>00.브랜드검색PCMO</t>
        </is>
      </c>
      <c r="K294" t="inlineStr">
        <is>
          <t>01.PC브랜드검색</t>
        </is>
      </c>
      <c r="M294" t="n">
        <v>0</v>
      </c>
      <c r="N294" t="n">
        <v>0</v>
      </c>
      <c r="O294" t="n">
        <v>36666.66666666666</v>
      </c>
      <c r="P294" t="n">
        <v>0</v>
      </c>
      <c r="Q294" t="n">
        <v>0</v>
      </c>
      <c r="R294" t="n">
        <v>0</v>
      </c>
      <c r="S294" t="n">
        <v>0</v>
      </c>
      <c r="T294" t="inlineStr">
        <is>
          <t>BSA</t>
        </is>
      </c>
      <c r="U294" t="inlineStr">
        <is>
          <t>BSA</t>
        </is>
      </c>
    </row>
    <row r="295">
      <c r="C295" t="inlineStr">
        <is>
          <t>BSA</t>
        </is>
      </c>
      <c r="D295" t="inlineStr">
        <is>
          <t>BSA</t>
        </is>
      </c>
      <c r="E295" t="inlineStr">
        <is>
          <t>당월</t>
        </is>
      </c>
      <c r="F295" t="inlineStr">
        <is>
          <t>7월 3주차</t>
        </is>
      </c>
      <c r="G295" t="inlineStr">
        <is>
          <t>네이버</t>
        </is>
      </c>
      <c r="H295" s="13" t="n">
        <v>45118</v>
      </c>
      <c r="I295" t="inlineStr">
        <is>
          <t>MO</t>
        </is>
      </c>
      <c r="J295" t="inlineStr">
        <is>
          <t>00.브랜드검색PCMO</t>
        </is>
      </c>
      <c r="K295" t="inlineStr">
        <is>
          <t>01.MO브랜드검색</t>
        </is>
      </c>
      <c r="M295" t="n">
        <v>0</v>
      </c>
      <c r="N295" t="n">
        <v>0</v>
      </c>
      <c r="O295" t="n">
        <v>51333.33333333334</v>
      </c>
      <c r="P295" t="n">
        <v>0</v>
      </c>
      <c r="Q295" t="n">
        <v>0</v>
      </c>
      <c r="R295" t="n">
        <v>0</v>
      </c>
      <c r="S295" t="n">
        <v>0</v>
      </c>
      <c r="T295" t="inlineStr">
        <is>
          <t>BSA</t>
        </is>
      </c>
      <c r="U295" t="inlineStr">
        <is>
          <t>BSA</t>
        </is>
      </c>
    </row>
    <row r="296">
      <c r="C296" t="inlineStr">
        <is>
          <t>BSA</t>
        </is>
      </c>
      <c r="D296" t="inlineStr">
        <is>
          <t>BSA</t>
        </is>
      </c>
      <c r="E296" t="inlineStr">
        <is>
          <t>당월</t>
        </is>
      </c>
      <c r="F296" t="inlineStr">
        <is>
          <t>7월 3주차</t>
        </is>
      </c>
      <c r="G296" t="inlineStr">
        <is>
          <t>네이버</t>
        </is>
      </c>
      <c r="H296" s="13" t="n">
        <v>45119</v>
      </c>
      <c r="I296" t="inlineStr">
        <is>
          <t>PC</t>
        </is>
      </c>
      <c r="J296" t="inlineStr">
        <is>
          <t>00.브랜드검색PCMO</t>
        </is>
      </c>
      <c r="K296" t="inlineStr">
        <is>
          <t>01.PC브랜드검색</t>
        </is>
      </c>
      <c r="M296" t="n">
        <v>0</v>
      </c>
      <c r="N296" t="n">
        <v>0</v>
      </c>
      <c r="O296" t="n">
        <v>36666.66666666666</v>
      </c>
      <c r="P296" t="n">
        <v>0</v>
      </c>
      <c r="Q296" t="n">
        <v>0</v>
      </c>
      <c r="R296" t="n">
        <v>0</v>
      </c>
      <c r="S296" t="n">
        <v>0</v>
      </c>
      <c r="T296" t="inlineStr">
        <is>
          <t>BSA</t>
        </is>
      </c>
      <c r="U296" t="inlineStr">
        <is>
          <t>BSA</t>
        </is>
      </c>
    </row>
    <row r="297">
      <c r="C297" t="inlineStr">
        <is>
          <t>BSA</t>
        </is>
      </c>
      <c r="D297" t="inlineStr">
        <is>
          <t>BSA</t>
        </is>
      </c>
      <c r="E297" t="inlineStr">
        <is>
          <t>당월</t>
        </is>
      </c>
      <c r="F297" t="inlineStr">
        <is>
          <t>7월 3주차</t>
        </is>
      </c>
      <c r="G297" t="inlineStr">
        <is>
          <t>네이버</t>
        </is>
      </c>
      <c r="H297" s="13" t="n">
        <v>45119</v>
      </c>
      <c r="I297" t="inlineStr">
        <is>
          <t>MO</t>
        </is>
      </c>
      <c r="J297" t="inlineStr">
        <is>
          <t>00.브랜드검색PCMO</t>
        </is>
      </c>
      <c r="K297" t="inlineStr">
        <is>
          <t>01.MO브랜드검색</t>
        </is>
      </c>
      <c r="M297" t="n">
        <v>0</v>
      </c>
      <c r="N297" t="n">
        <v>0</v>
      </c>
      <c r="O297" t="n">
        <v>51333.33333333334</v>
      </c>
      <c r="P297" t="n">
        <v>0</v>
      </c>
      <c r="Q297" t="n">
        <v>0</v>
      </c>
      <c r="R297" t="n">
        <v>0</v>
      </c>
      <c r="S297" t="n">
        <v>0</v>
      </c>
      <c r="T297" t="inlineStr">
        <is>
          <t>BSA</t>
        </is>
      </c>
      <c r="U297" t="inlineStr">
        <is>
          <t>BSA</t>
        </is>
      </c>
    </row>
    <row r="298">
      <c r="C298" t="inlineStr">
        <is>
          <t>BSA</t>
        </is>
      </c>
      <c r="D298" t="inlineStr">
        <is>
          <t>BSA</t>
        </is>
      </c>
      <c r="E298" t="inlineStr">
        <is>
          <t>당월</t>
        </is>
      </c>
      <c r="F298" t="inlineStr">
        <is>
          <t>7월 3주차</t>
        </is>
      </c>
      <c r="G298" t="inlineStr">
        <is>
          <t>네이버</t>
        </is>
      </c>
      <c r="H298" s="13" t="n">
        <v>45120</v>
      </c>
      <c r="I298" t="inlineStr">
        <is>
          <t>PC</t>
        </is>
      </c>
      <c r="J298" t="inlineStr">
        <is>
          <t>00.브랜드검색PCMO</t>
        </is>
      </c>
      <c r="K298" t="inlineStr">
        <is>
          <t>01.PC브랜드검색</t>
        </is>
      </c>
      <c r="M298" t="n">
        <v>0</v>
      </c>
      <c r="N298" t="n">
        <v>0</v>
      </c>
      <c r="O298" t="n">
        <v>36666.66666666666</v>
      </c>
      <c r="P298" t="n">
        <v>0</v>
      </c>
      <c r="Q298" t="n">
        <v>0</v>
      </c>
      <c r="R298" t="n">
        <v>0</v>
      </c>
      <c r="S298" t="n">
        <v>0</v>
      </c>
      <c r="T298" t="inlineStr">
        <is>
          <t>BSA</t>
        </is>
      </c>
      <c r="U298" t="inlineStr">
        <is>
          <t>BSA</t>
        </is>
      </c>
    </row>
    <row r="299">
      <c r="C299" t="inlineStr">
        <is>
          <t>BSA</t>
        </is>
      </c>
      <c r="D299" t="inlineStr">
        <is>
          <t>BSA</t>
        </is>
      </c>
      <c r="E299" t="inlineStr">
        <is>
          <t>당월</t>
        </is>
      </c>
      <c r="F299" t="inlineStr">
        <is>
          <t>7월 3주차</t>
        </is>
      </c>
      <c r="G299" t="inlineStr">
        <is>
          <t>네이버</t>
        </is>
      </c>
      <c r="H299" s="13" t="n">
        <v>45120</v>
      </c>
      <c r="I299" t="inlineStr">
        <is>
          <t>MO</t>
        </is>
      </c>
      <c r="J299" t="inlineStr">
        <is>
          <t>00.브랜드검색PCMO</t>
        </is>
      </c>
      <c r="K299" t="inlineStr">
        <is>
          <t>01.MO브랜드검색</t>
        </is>
      </c>
      <c r="M299" t="n">
        <v>0</v>
      </c>
      <c r="N299" t="n">
        <v>0</v>
      </c>
      <c r="O299" t="n">
        <v>51333.33333333334</v>
      </c>
      <c r="P299" t="n">
        <v>0</v>
      </c>
      <c r="Q299" t="n">
        <v>0</v>
      </c>
      <c r="R299" t="n">
        <v>0</v>
      </c>
      <c r="S299" t="n">
        <v>0</v>
      </c>
      <c r="T299" t="inlineStr">
        <is>
          <t>BSA</t>
        </is>
      </c>
      <c r="U299" t="inlineStr">
        <is>
          <t>BSA</t>
        </is>
      </c>
    </row>
    <row r="300">
      <c r="C300" t="inlineStr">
        <is>
          <t>BSA</t>
        </is>
      </c>
      <c r="D300" t="inlineStr">
        <is>
          <t>BSA</t>
        </is>
      </c>
      <c r="E300" t="inlineStr">
        <is>
          <t>당월</t>
        </is>
      </c>
      <c r="F300" t="inlineStr">
        <is>
          <t>7월 3주차</t>
        </is>
      </c>
      <c r="G300" t="inlineStr">
        <is>
          <t>네이버</t>
        </is>
      </c>
      <c r="H300" s="13" t="n">
        <v>45121</v>
      </c>
      <c r="I300" t="inlineStr">
        <is>
          <t>PC</t>
        </is>
      </c>
      <c r="J300" t="inlineStr">
        <is>
          <t>00.브랜드검색PCMO</t>
        </is>
      </c>
      <c r="K300" t="inlineStr">
        <is>
          <t>01.PC브랜드검색</t>
        </is>
      </c>
      <c r="M300" t="n">
        <v>0</v>
      </c>
      <c r="N300" t="n">
        <v>0</v>
      </c>
      <c r="O300" t="n">
        <v>36666.66666666666</v>
      </c>
      <c r="P300" t="n">
        <v>0</v>
      </c>
      <c r="Q300" t="n">
        <v>0</v>
      </c>
      <c r="R300" t="n">
        <v>0</v>
      </c>
      <c r="S300" t="n">
        <v>0</v>
      </c>
      <c r="T300" t="inlineStr">
        <is>
          <t>BSA</t>
        </is>
      </c>
      <c r="U300" t="inlineStr">
        <is>
          <t>BSA</t>
        </is>
      </c>
    </row>
    <row r="301">
      <c r="C301" t="inlineStr">
        <is>
          <t>BSA</t>
        </is>
      </c>
      <c r="D301" t="inlineStr">
        <is>
          <t>BSA</t>
        </is>
      </c>
      <c r="E301" t="inlineStr">
        <is>
          <t>당월</t>
        </is>
      </c>
      <c r="F301" t="inlineStr">
        <is>
          <t>7월 3주차</t>
        </is>
      </c>
      <c r="G301" t="inlineStr">
        <is>
          <t>네이버</t>
        </is>
      </c>
      <c r="H301" s="13" t="n">
        <v>45121</v>
      </c>
      <c r="I301" t="inlineStr">
        <is>
          <t>MO</t>
        </is>
      </c>
      <c r="J301" t="inlineStr">
        <is>
          <t>00.브랜드검색PCMO</t>
        </is>
      </c>
      <c r="K301" t="inlineStr">
        <is>
          <t>01.MO브랜드검색</t>
        </is>
      </c>
      <c r="M301" t="n">
        <v>0</v>
      </c>
      <c r="N301" t="n">
        <v>0</v>
      </c>
      <c r="O301" t="n">
        <v>51333.33333333334</v>
      </c>
      <c r="P301" t="n">
        <v>0</v>
      </c>
      <c r="Q301" t="n">
        <v>0</v>
      </c>
      <c r="R301" t="n">
        <v>0</v>
      </c>
      <c r="S301" t="n">
        <v>0</v>
      </c>
      <c r="T301" t="inlineStr">
        <is>
          <t>BSA</t>
        </is>
      </c>
      <c r="U301" t="inlineStr">
        <is>
          <t>BSA</t>
        </is>
      </c>
    </row>
    <row r="302">
      <c r="C302" t="inlineStr">
        <is>
          <t>BSA</t>
        </is>
      </c>
      <c r="D302" t="inlineStr">
        <is>
          <t>BSA</t>
        </is>
      </c>
      <c r="E302" t="inlineStr">
        <is>
          <t>당월</t>
        </is>
      </c>
      <c r="F302" t="inlineStr">
        <is>
          <t>7월 3주차</t>
        </is>
      </c>
      <c r="G302" t="inlineStr">
        <is>
          <t>네이버</t>
        </is>
      </c>
      <c r="H302" s="13" t="n">
        <v>45122</v>
      </c>
      <c r="I302" t="inlineStr">
        <is>
          <t>PC</t>
        </is>
      </c>
      <c r="J302" t="inlineStr">
        <is>
          <t>00.브랜드검색PCMO</t>
        </is>
      </c>
      <c r="K302" t="inlineStr">
        <is>
          <t>01.PC브랜드검색</t>
        </is>
      </c>
      <c r="M302" t="n">
        <v>0</v>
      </c>
      <c r="N302" t="n">
        <v>0</v>
      </c>
      <c r="O302" t="n">
        <v>36666.66666666666</v>
      </c>
      <c r="P302" t="n">
        <v>0</v>
      </c>
      <c r="Q302" t="n">
        <v>0</v>
      </c>
      <c r="R302" t="n">
        <v>0</v>
      </c>
      <c r="S302" t="n">
        <v>0</v>
      </c>
      <c r="T302" t="inlineStr">
        <is>
          <t>BSA</t>
        </is>
      </c>
      <c r="U302" t="inlineStr">
        <is>
          <t>BSA</t>
        </is>
      </c>
    </row>
    <row r="303">
      <c r="C303" t="inlineStr">
        <is>
          <t>BSA</t>
        </is>
      </c>
      <c r="D303" t="inlineStr">
        <is>
          <t>BSA</t>
        </is>
      </c>
      <c r="E303" t="inlineStr">
        <is>
          <t>당월</t>
        </is>
      </c>
      <c r="F303" t="inlineStr">
        <is>
          <t>7월 3주차</t>
        </is>
      </c>
      <c r="G303" t="inlineStr">
        <is>
          <t>네이버</t>
        </is>
      </c>
      <c r="H303" s="13" t="n">
        <v>45122</v>
      </c>
      <c r="I303" t="inlineStr">
        <is>
          <t>MO</t>
        </is>
      </c>
      <c r="J303" t="inlineStr">
        <is>
          <t>00.브랜드검색PCMO</t>
        </is>
      </c>
      <c r="K303" t="inlineStr">
        <is>
          <t>01.MO브랜드검색</t>
        </is>
      </c>
      <c r="M303" t="n">
        <v>0</v>
      </c>
      <c r="N303" t="n">
        <v>0</v>
      </c>
      <c r="O303" t="n">
        <v>51333.33333333334</v>
      </c>
      <c r="P303" t="n">
        <v>0</v>
      </c>
      <c r="Q303" t="n">
        <v>0</v>
      </c>
      <c r="R303" t="n">
        <v>0</v>
      </c>
      <c r="S303" t="n">
        <v>0</v>
      </c>
      <c r="T303" t="inlineStr">
        <is>
          <t>BSA</t>
        </is>
      </c>
      <c r="U303" t="inlineStr">
        <is>
          <t>BSA</t>
        </is>
      </c>
    </row>
    <row r="304">
      <c r="C304" t="inlineStr">
        <is>
          <t>BSA</t>
        </is>
      </c>
      <c r="D304" t="inlineStr">
        <is>
          <t>BSA</t>
        </is>
      </c>
      <c r="E304" t="inlineStr">
        <is>
          <t>당월</t>
        </is>
      </c>
      <c r="F304" t="inlineStr">
        <is>
          <t>7월 3주차</t>
        </is>
      </c>
      <c r="G304" t="inlineStr">
        <is>
          <t>네이버</t>
        </is>
      </c>
      <c r="H304" s="13" t="n">
        <v>45123</v>
      </c>
      <c r="I304" t="inlineStr">
        <is>
          <t>PC</t>
        </is>
      </c>
      <c r="J304" t="inlineStr">
        <is>
          <t>00.브랜드검색PCMO</t>
        </is>
      </c>
      <c r="K304" t="inlineStr">
        <is>
          <t>01.PC브랜드검색</t>
        </is>
      </c>
      <c r="M304" t="n">
        <v>0</v>
      </c>
      <c r="N304" t="n">
        <v>0</v>
      </c>
      <c r="O304" t="n">
        <v>36666.66666666666</v>
      </c>
      <c r="P304" t="n">
        <v>0</v>
      </c>
      <c r="Q304" t="n">
        <v>0</v>
      </c>
      <c r="R304" t="n">
        <v>0</v>
      </c>
      <c r="S304" t="n">
        <v>0</v>
      </c>
      <c r="T304" t="inlineStr">
        <is>
          <t>BSA</t>
        </is>
      </c>
      <c r="U304" t="inlineStr">
        <is>
          <t>BSA</t>
        </is>
      </c>
    </row>
    <row r="305">
      <c r="C305" t="inlineStr">
        <is>
          <t>BSA</t>
        </is>
      </c>
      <c r="D305" t="inlineStr">
        <is>
          <t>BSA</t>
        </is>
      </c>
      <c r="E305" t="inlineStr">
        <is>
          <t>당월</t>
        </is>
      </c>
      <c r="F305" t="inlineStr">
        <is>
          <t>7월 3주차</t>
        </is>
      </c>
      <c r="G305" t="inlineStr">
        <is>
          <t>네이버</t>
        </is>
      </c>
      <c r="H305" s="13" t="n">
        <v>45123</v>
      </c>
      <c r="I305" t="inlineStr">
        <is>
          <t>MO</t>
        </is>
      </c>
      <c r="J305" t="inlineStr">
        <is>
          <t>00.브랜드검색PCMO</t>
        </is>
      </c>
      <c r="K305" t="inlineStr">
        <is>
          <t>01.MO브랜드검색</t>
        </is>
      </c>
      <c r="M305" t="n">
        <v>0</v>
      </c>
      <c r="N305" t="n">
        <v>0</v>
      </c>
      <c r="O305" t="n">
        <v>51333.33333333334</v>
      </c>
      <c r="P305" t="n">
        <v>0</v>
      </c>
      <c r="Q305" t="n">
        <v>0</v>
      </c>
      <c r="R305" t="n">
        <v>0</v>
      </c>
      <c r="S305" t="n">
        <v>0</v>
      </c>
      <c r="T305" t="inlineStr">
        <is>
          <t>BSA</t>
        </is>
      </c>
      <c r="U305" t="inlineStr">
        <is>
          <t>BSA</t>
        </is>
      </c>
    </row>
    <row r="309">
      <c r="C309" t="inlineStr">
        <is>
          <t>BSA</t>
        </is>
      </c>
      <c r="D309" t="inlineStr">
        <is>
          <t>BSA</t>
        </is>
      </c>
      <c r="E309" t="inlineStr">
        <is>
          <t>당월</t>
        </is>
      </c>
      <c r="F309" t="inlineStr">
        <is>
          <t>7월 5주차</t>
        </is>
      </c>
      <c r="G309" t="inlineStr">
        <is>
          <t>네이버</t>
        </is>
      </c>
      <c r="H309" s="13" t="n">
        <v>45131</v>
      </c>
      <c r="I309" t="inlineStr">
        <is>
          <t>PC</t>
        </is>
      </c>
      <c r="J309" t="inlineStr">
        <is>
          <t>00.브랜드검색PCMO</t>
        </is>
      </c>
      <c r="K309" t="inlineStr">
        <is>
          <t>01.PC브랜드검색</t>
        </is>
      </c>
      <c r="M309" t="n">
        <v>0</v>
      </c>
      <c r="N309" t="n">
        <v>0</v>
      </c>
      <c r="O309" t="n">
        <v>36666.66666666666</v>
      </c>
      <c r="P309" t="n">
        <v>0</v>
      </c>
      <c r="Q309" t="n">
        <v>0</v>
      </c>
      <c r="R309" t="n">
        <v>0</v>
      </c>
      <c r="S309" t="n">
        <v>0</v>
      </c>
      <c r="T309" t="inlineStr">
        <is>
          <t>BSA</t>
        </is>
      </c>
      <c r="U309" t="inlineStr">
        <is>
          <t>BSA</t>
        </is>
      </c>
    </row>
    <row r="310">
      <c r="C310" t="inlineStr">
        <is>
          <t>BSA</t>
        </is>
      </c>
      <c r="D310" t="inlineStr">
        <is>
          <t>BSA</t>
        </is>
      </c>
      <c r="E310" t="inlineStr">
        <is>
          <t>당월</t>
        </is>
      </c>
      <c r="F310" t="inlineStr">
        <is>
          <t>7월 5주차</t>
        </is>
      </c>
      <c r="G310" t="inlineStr">
        <is>
          <t>네이버</t>
        </is>
      </c>
      <c r="H310" s="13" t="n">
        <v>45131</v>
      </c>
      <c r="I310" t="inlineStr">
        <is>
          <t>MO</t>
        </is>
      </c>
      <c r="J310" t="inlineStr">
        <is>
          <t>00.브랜드검색PCMO</t>
        </is>
      </c>
      <c r="K310" t="inlineStr">
        <is>
          <t>01.MO브랜드검색</t>
        </is>
      </c>
      <c r="M310" t="n">
        <v>0</v>
      </c>
      <c r="N310" t="n">
        <v>0</v>
      </c>
      <c r="O310" t="n">
        <v>51333.33333333334</v>
      </c>
      <c r="P310" t="n">
        <v>0</v>
      </c>
      <c r="Q310" t="n">
        <v>0</v>
      </c>
      <c r="R310" t="n">
        <v>0</v>
      </c>
      <c r="S310" t="n">
        <v>0</v>
      </c>
      <c r="T310" t="inlineStr">
        <is>
          <t>BSA</t>
        </is>
      </c>
      <c r="U310" t="inlineStr">
        <is>
          <t>BSA</t>
        </is>
      </c>
    </row>
    <row r="311">
      <c r="C311" t="inlineStr">
        <is>
          <t>BSA</t>
        </is>
      </c>
      <c r="D311" t="inlineStr">
        <is>
          <t>BSA</t>
        </is>
      </c>
      <c r="E311" t="inlineStr">
        <is>
          <t>당월</t>
        </is>
      </c>
      <c r="F311" t="inlineStr">
        <is>
          <t>7월 5주차</t>
        </is>
      </c>
      <c r="G311" t="inlineStr">
        <is>
          <t>네이버</t>
        </is>
      </c>
      <c r="H311" s="13" t="n">
        <v>45132</v>
      </c>
      <c r="I311" t="inlineStr">
        <is>
          <t>PC</t>
        </is>
      </c>
      <c r="J311" t="inlineStr">
        <is>
          <t>00.브랜드검색PCMO</t>
        </is>
      </c>
      <c r="K311" t="inlineStr">
        <is>
          <t>01.PC브랜드검색</t>
        </is>
      </c>
      <c r="M311" t="n">
        <v>0</v>
      </c>
      <c r="N311" t="n">
        <v>0</v>
      </c>
      <c r="O311" t="n">
        <v>36666.66666666666</v>
      </c>
      <c r="P311" t="n">
        <v>0</v>
      </c>
      <c r="Q311" t="n">
        <v>0</v>
      </c>
      <c r="R311" t="n">
        <v>0</v>
      </c>
      <c r="S311" t="n">
        <v>0</v>
      </c>
      <c r="T311" t="inlineStr">
        <is>
          <t>BSA</t>
        </is>
      </c>
      <c r="U311" t="inlineStr">
        <is>
          <t>BSA</t>
        </is>
      </c>
    </row>
    <row r="312">
      <c r="C312" t="inlineStr">
        <is>
          <t>BSA</t>
        </is>
      </c>
      <c r="D312" t="inlineStr">
        <is>
          <t>BSA</t>
        </is>
      </c>
      <c r="E312" t="inlineStr">
        <is>
          <t>당월</t>
        </is>
      </c>
      <c r="F312" t="inlineStr">
        <is>
          <t>7월 5주차</t>
        </is>
      </c>
      <c r="G312" t="inlineStr">
        <is>
          <t>네이버</t>
        </is>
      </c>
      <c r="H312" s="13" t="n">
        <v>45132</v>
      </c>
      <c r="I312" t="inlineStr">
        <is>
          <t>MO</t>
        </is>
      </c>
      <c r="J312" t="inlineStr">
        <is>
          <t>00.브랜드검색PCMO</t>
        </is>
      </c>
      <c r="K312" t="inlineStr">
        <is>
          <t>01.MO브랜드검색</t>
        </is>
      </c>
      <c r="M312" t="n">
        <v>0</v>
      </c>
      <c r="N312" t="n">
        <v>0</v>
      </c>
      <c r="O312" t="n">
        <v>51333.33333333334</v>
      </c>
      <c r="P312" t="n">
        <v>0</v>
      </c>
      <c r="Q312" t="n">
        <v>0</v>
      </c>
      <c r="R312" t="n">
        <v>0</v>
      </c>
      <c r="S312" t="n">
        <v>0</v>
      </c>
      <c r="T312" t="inlineStr">
        <is>
          <t>BSA</t>
        </is>
      </c>
      <c r="U312" t="inlineStr">
        <is>
          <t>BSA</t>
        </is>
      </c>
    </row>
    <row r="313">
      <c r="C313" t="inlineStr">
        <is>
          <t>BSA</t>
        </is>
      </c>
      <c r="D313" t="inlineStr">
        <is>
          <t>BSA</t>
        </is>
      </c>
      <c r="E313" t="inlineStr">
        <is>
          <t>당월</t>
        </is>
      </c>
      <c r="F313" t="inlineStr">
        <is>
          <t>7월 5주차</t>
        </is>
      </c>
      <c r="G313" t="inlineStr">
        <is>
          <t>네이버</t>
        </is>
      </c>
      <c r="H313" s="13" t="n">
        <v>45133</v>
      </c>
      <c r="I313" t="inlineStr">
        <is>
          <t>PC</t>
        </is>
      </c>
      <c r="J313" t="inlineStr">
        <is>
          <t>00.브랜드검색PCMO</t>
        </is>
      </c>
      <c r="K313" t="inlineStr">
        <is>
          <t>01.PC브랜드검색</t>
        </is>
      </c>
      <c r="M313" t="n">
        <v>0</v>
      </c>
      <c r="N313" t="n">
        <v>0</v>
      </c>
      <c r="O313" t="n">
        <v>36666.66666666666</v>
      </c>
      <c r="P313" t="n">
        <v>0</v>
      </c>
      <c r="Q313" t="n">
        <v>0</v>
      </c>
      <c r="R313" t="n">
        <v>0</v>
      </c>
      <c r="S313" t="n">
        <v>0</v>
      </c>
      <c r="T313" t="inlineStr">
        <is>
          <t>BSA</t>
        </is>
      </c>
      <c r="U313" t="inlineStr">
        <is>
          <t>BSA</t>
        </is>
      </c>
    </row>
    <row r="314">
      <c r="C314" t="inlineStr">
        <is>
          <t>BSA</t>
        </is>
      </c>
      <c r="D314" t="inlineStr">
        <is>
          <t>BSA</t>
        </is>
      </c>
      <c r="E314" t="inlineStr">
        <is>
          <t>당월</t>
        </is>
      </c>
      <c r="F314" t="inlineStr">
        <is>
          <t>7월 5주차</t>
        </is>
      </c>
      <c r="G314" t="inlineStr">
        <is>
          <t>네이버</t>
        </is>
      </c>
      <c r="H314" s="13" t="n">
        <v>45133</v>
      </c>
      <c r="I314" t="inlineStr">
        <is>
          <t>MO</t>
        </is>
      </c>
      <c r="J314" t="inlineStr">
        <is>
          <t>00.브랜드검색PCMO</t>
        </is>
      </c>
      <c r="K314" t="inlineStr">
        <is>
          <t>01.MO브랜드검색</t>
        </is>
      </c>
      <c r="M314" t="n">
        <v>0</v>
      </c>
      <c r="N314" t="n">
        <v>0</v>
      </c>
      <c r="O314" t="n">
        <v>51333.33333333334</v>
      </c>
      <c r="P314" t="n">
        <v>0</v>
      </c>
      <c r="Q314" t="n">
        <v>0</v>
      </c>
      <c r="R314" t="n">
        <v>0</v>
      </c>
      <c r="S314" t="n">
        <v>0</v>
      </c>
      <c r="T314" t="inlineStr">
        <is>
          <t>BSA</t>
        </is>
      </c>
      <c r="U314" t="inlineStr">
        <is>
          <t>BSA</t>
        </is>
      </c>
    </row>
    <row r="315">
      <c r="C315" t="inlineStr">
        <is>
          <t>BSA</t>
        </is>
      </c>
      <c r="D315" t="inlineStr">
        <is>
          <t>BSA</t>
        </is>
      </c>
      <c r="E315" t="inlineStr">
        <is>
          <t>당월</t>
        </is>
      </c>
      <c r="F315" t="inlineStr">
        <is>
          <t>7월 5주차</t>
        </is>
      </c>
      <c r="G315" t="inlineStr">
        <is>
          <t>네이버</t>
        </is>
      </c>
      <c r="H315" s="13" t="n">
        <v>45134</v>
      </c>
      <c r="I315" t="inlineStr">
        <is>
          <t>PC</t>
        </is>
      </c>
      <c r="J315" t="inlineStr">
        <is>
          <t>00.브랜드검색PCMO</t>
        </is>
      </c>
      <c r="K315" t="inlineStr">
        <is>
          <t>01.PC브랜드검색</t>
        </is>
      </c>
      <c r="M315" t="n">
        <v>0</v>
      </c>
      <c r="N315" t="n">
        <v>0</v>
      </c>
      <c r="O315" t="n">
        <v>36666.66666666666</v>
      </c>
      <c r="P315" t="n">
        <v>0</v>
      </c>
      <c r="Q315" t="n">
        <v>0</v>
      </c>
      <c r="R315" t="n">
        <v>0</v>
      </c>
      <c r="S315" t="n">
        <v>0</v>
      </c>
      <c r="T315" t="inlineStr">
        <is>
          <t>BSA</t>
        </is>
      </c>
      <c r="U315" t="inlineStr">
        <is>
          <t>BSA</t>
        </is>
      </c>
    </row>
    <row r="316">
      <c r="C316" t="inlineStr">
        <is>
          <t>BSA</t>
        </is>
      </c>
      <c r="D316" t="inlineStr">
        <is>
          <t>BSA</t>
        </is>
      </c>
      <c r="E316" t="inlineStr">
        <is>
          <t>당월</t>
        </is>
      </c>
      <c r="F316" t="inlineStr">
        <is>
          <t>7월 5주차</t>
        </is>
      </c>
      <c r="G316" t="inlineStr">
        <is>
          <t>네이버</t>
        </is>
      </c>
      <c r="H316" s="13" t="n">
        <v>45134</v>
      </c>
      <c r="I316" t="inlineStr">
        <is>
          <t>MO</t>
        </is>
      </c>
      <c r="J316" t="inlineStr">
        <is>
          <t>00.브랜드검색PCMO</t>
        </is>
      </c>
      <c r="K316" t="inlineStr">
        <is>
          <t>01.MO브랜드검색</t>
        </is>
      </c>
      <c r="M316" t="n">
        <v>0</v>
      </c>
      <c r="N316" t="n">
        <v>0</v>
      </c>
      <c r="O316" t="n">
        <v>51333.33333333334</v>
      </c>
      <c r="P316" t="n">
        <v>0</v>
      </c>
      <c r="Q316" t="n">
        <v>0</v>
      </c>
      <c r="R316" t="n">
        <v>0</v>
      </c>
      <c r="S316" t="n">
        <v>0</v>
      </c>
      <c r="T316" t="inlineStr">
        <is>
          <t>BSA</t>
        </is>
      </c>
      <c r="U316" t="inlineStr">
        <is>
          <t>BSA</t>
        </is>
      </c>
    </row>
    <row r="317">
      <c r="C317" t="inlineStr">
        <is>
          <t>BSA</t>
        </is>
      </c>
      <c r="D317" t="inlineStr">
        <is>
          <t>BSA</t>
        </is>
      </c>
      <c r="E317" t="inlineStr">
        <is>
          <t>당월</t>
        </is>
      </c>
      <c r="F317" t="inlineStr">
        <is>
          <t>7월 5주차</t>
        </is>
      </c>
      <c r="G317" t="inlineStr">
        <is>
          <t>네이버</t>
        </is>
      </c>
      <c r="H317" s="13" t="n">
        <v>45135</v>
      </c>
      <c r="I317" t="inlineStr">
        <is>
          <t>PC</t>
        </is>
      </c>
      <c r="J317" t="inlineStr">
        <is>
          <t>00.브랜드검색PCMO</t>
        </is>
      </c>
      <c r="K317" t="inlineStr">
        <is>
          <t>01.PC브랜드검색</t>
        </is>
      </c>
      <c r="M317" t="n">
        <v>0</v>
      </c>
      <c r="N317" t="n">
        <v>0</v>
      </c>
      <c r="O317" t="n">
        <v>36666.66666666666</v>
      </c>
      <c r="P317" t="n">
        <v>0</v>
      </c>
      <c r="Q317" t="n">
        <v>0</v>
      </c>
      <c r="R317" t="n">
        <v>0</v>
      </c>
      <c r="S317" t="n">
        <v>0</v>
      </c>
      <c r="T317" t="inlineStr">
        <is>
          <t>BSA</t>
        </is>
      </c>
      <c r="U317" t="inlineStr">
        <is>
          <t>BSA</t>
        </is>
      </c>
    </row>
    <row r="318">
      <c r="C318" t="inlineStr">
        <is>
          <t>BSA</t>
        </is>
      </c>
      <c r="D318" t="inlineStr">
        <is>
          <t>BSA</t>
        </is>
      </c>
      <c r="E318" t="inlineStr">
        <is>
          <t>당월</t>
        </is>
      </c>
      <c r="F318" t="inlineStr">
        <is>
          <t>7월 5주차</t>
        </is>
      </c>
      <c r="G318" t="inlineStr">
        <is>
          <t>네이버</t>
        </is>
      </c>
      <c r="H318" s="13" t="n">
        <v>45135</v>
      </c>
      <c r="I318" t="inlineStr">
        <is>
          <t>MO</t>
        </is>
      </c>
      <c r="J318" t="inlineStr">
        <is>
          <t>00.브랜드검색PCMO</t>
        </is>
      </c>
      <c r="K318" t="inlineStr">
        <is>
          <t>01.MO브랜드검색</t>
        </is>
      </c>
      <c r="M318" t="n">
        <v>0</v>
      </c>
      <c r="N318" t="n">
        <v>0</v>
      </c>
      <c r="O318" t="n">
        <v>51333.33333333334</v>
      </c>
      <c r="P318" t="n">
        <v>0</v>
      </c>
      <c r="Q318" t="n">
        <v>0</v>
      </c>
      <c r="R318" t="n">
        <v>0</v>
      </c>
      <c r="S318" t="n">
        <v>0</v>
      </c>
      <c r="T318" t="inlineStr">
        <is>
          <t>BSA</t>
        </is>
      </c>
      <c r="U318" t="inlineStr">
        <is>
          <t>BSA</t>
        </is>
      </c>
    </row>
    <row r="319">
      <c r="C319" t="inlineStr">
        <is>
          <t>BSA</t>
        </is>
      </c>
      <c r="D319" t="inlineStr">
        <is>
          <t>BSA</t>
        </is>
      </c>
      <c r="E319" t="inlineStr">
        <is>
          <t>당월</t>
        </is>
      </c>
      <c r="F319" t="inlineStr">
        <is>
          <t>7월 5주차</t>
        </is>
      </c>
      <c r="G319" t="inlineStr">
        <is>
          <t>네이버</t>
        </is>
      </c>
      <c r="H319" s="13" t="n">
        <v>45136</v>
      </c>
      <c r="I319" t="inlineStr">
        <is>
          <t>PC</t>
        </is>
      </c>
      <c r="J319" t="inlineStr">
        <is>
          <t>00.브랜드검색PCMO</t>
        </is>
      </c>
      <c r="K319" t="inlineStr">
        <is>
          <t>01.PC브랜드검색</t>
        </is>
      </c>
      <c r="M319" t="n">
        <v>0</v>
      </c>
      <c r="N319" t="n">
        <v>0</v>
      </c>
      <c r="O319" t="n">
        <v>36666.66666666666</v>
      </c>
      <c r="P319" t="n">
        <v>0</v>
      </c>
      <c r="Q319" t="n">
        <v>0</v>
      </c>
      <c r="R319" t="n">
        <v>0</v>
      </c>
      <c r="S319" t="n">
        <v>0</v>
      </c>
      <c r="T319" t="inlineStr">
        <is>
          <t>BSA</t>
        </is>
      </c>
      <c r="U319" t="inlineStr">
        <is>
          <t>BSA</t>
        </is>
      </c>
    </row>
    <row r="320">
      <c r="C320" t="inlineStr">
        <is>
          <t>BSA</t>
        </is>
      </c>
      <c r="D320" t="inlineStr">
        <is>
          <t>BSA</t>
        </is>
      </c>
      <c r="E320" t="inlineStr">
        <is>
          <t>당월</t>
        </is>
      </c>
      <c r="F320" t="inlineStr">
        <is>
          <t>7월 5주차</t>
        </is>
      </c>
      <c r="G320" t="inlineStr">
        <is>
          <t>네이버</t>
        </is>
      </c>
      <c r="H320" s="13" t="n">
        <v>45136</v>
      </c>
      <c r="I320" t="inlineStr">
        <is>
          <t>MO</t>
        </is>
      </c>
      <c r="J320" t="inlineStr">
        <is>
          <t>00.브랜드검색PCMO</t>
        </is>
      </c>
      <c r="K320" t="inlineStr">
        <is>
          <t>01.MO브랜드검색</t>
        </is>
      </c>
      <c r="M320" t="n">
        <v>0</v>
      </c>
      <c r="N320" t="n">
        <v>0</v>
      </c>
      <c r="O320" t="n">
        <v>51333.33333333334</v>
      </c>
      <c r="P320" t="n">
        <v>0</v>
      </c>
      <c r="Q320" t="n">
        <v>0</v>
      </c>
      <c r="R320" t="n">
        <v>0</v>
      </c>
      <c r="S320" t="n">
        <v>0</v>
      </c>
      <c r="T320" t="inlineStr">
        <is>
          <t>BSA</t>
        </is>
      </c>
      <c r="U320" t="inlineStr">
        <is>
          <t>BSA</t>
        </is>
      </c>
    </row>
    <row r="321">
      <c r="C321" t="inlineStr">
        <is>
          <t>BSA</t>
        </is>
      </c>
      <c r="D321" t="inlineStr">
        <is>
          <t>BSA</t>
        </is>
      </c>
      <c r="E321" t="inlineStr">
        <is>
          <t>당월</t>
        </is>
      </c>
      <c r="F321" t="inlineStr">
        <is>
          <t>7월 5주차</t>
        </is>
      </c>
      <c r="G321" t="inlineStr">
        <is>
          <t>네이버</t>
        </is>
      </c>
      <c r="H321" s="13" t="n">
        <v>45137</v>
      </c>
      <c r="I321" t="inlineStr">
        <is>
          <t>PC</t>
        </is>
      </c>
      <c r="J321" t="inlineStr">
        <is>
          <t>00.브랜드검색PCMO</t>
        </is>
      </c>
      <c r="K321" t="inlineStr">
        <is>
          <t>01.PC브랜드검색</t>
        </is>
      </c>
      <c r="M321" t="n">
        <v>0</v>
      </c>
      <c r="N321" t="n">
        <v>0</v>
      </c>
      <c r="O321" t="n">
        <v>36666.66666666666</v>
      </c>
      <c r="P321" t="n">
        <v>0</v>
      </c>
      <c r="Q321" t="n">
        <v>0</v>
      </c>
      <c r="R321" t="n">
        <v>0</v>
      </c>
      <c r="S321" t="n">
        <v>0</v>
      </c>
      <c r="T321" t="inlineStr">
        <is>
          <t>BSA</t>
        </is>
      </c>
      <c r="U321" t="inlineStr">
        <is>
          <t>BSA</t>
        </is>
      </c>
    </row>
    <row r="322">
      <c r="C322" t="inlineStr">
        <is>
          <t>BSA</t>
        </is>
      </c>
      <c r="D322" t="inlineStr">
        <is>
          <t>BSA</t>
        </is>
      </c>
      <c r="E322" t="inlineStr">
        <is>
          <t>당월</t>
        </is>
      </c>
      <c r="F322" t="inlineStr">
        <is>
          <t>7월 5주차</t>
        </is>
      </c>
      <c r="G322" t="inlineStr">
        <is>
          <t>네이버</t>
        </is>
      </c>
      <c r="H322" s="13" t="n">
        <v>45137</v>
      </c>
      <c r="I322" t="inlineStr">
        <is>
          <t>MO</t>
        </is>
      </c>
      <c r="J322" t="inlineStr">
        <is>
          <t>00.브랜드검색PCMO</t>
        </is>
      </c>
      <c r="K322" t="inlineStr">
        <is>
          <t>01.MO브랜드검색</t>
        </is>
      </c>
      <c r="M322" t="n">
        <v>0</v>
      </c>
      <c r="N322" t="n">
        <v>0</v>
      </c>
      <c r="O322" t="n">
        <v>51333.33333333334</v>
      </c>
      <c r="P322" t="n">
        <v>0</v>
      </c>
      <c r="Q322" t="n">
        <v>0</v>
      </c>
      <c r="R322" t="n">
        <v>0</v>
      </c>
      <c r="S322" t="n">
        <v>0</v>
      </c>
      <c r="T322" t="inlineStr">
        <is>
          <t>BSA</t>
        </is>
      </c>
      <c r="U322" t="inlineStr">
        <is>
          <t>BSA</t>
        </is>
      </c>
    </row>
    <row r="323">
      <c r="H323" s="3" t="n"/>
    </row>
    <row r="324">
      <c r="C324" t="inlineStr">
        <is>
          <t>BSA</t>
        </is>
      </c>
      <c r="D324" t="inlineStr">
        <is>
          <t>BSA</t>
        </is>
      </c>
      <c r="E324" t="inlineStr">
        <is>
          <t>당월</t>
        </is>
      </c>
      <c r="F324" t="inlineStr">
        <is>
          <t>7월 6주차</t>
        </is>
      </c>
      <c r="G324" t="inlineStr">
        <is>
          <t>네이버</t>
        </is>
      </c>
      <c r="H324" s="13" t="n">
        <v>45138</v>
      </c>
      <c r="I324" t="inlineStr">
        <is>
          <t>PC</t>
        </is>
      </c>
      <c r="J324" t="inlineStr">
        <is>
          <t>00.브랜드검색PCMO</t>
        </is>
      </c>
      <c r="K324" t="inlineStr">
        <is>
          <t>01.PC브랜드검색</t>
        </is>
      </c>
      <c r="M324" t="n">
        <v>0</v>
      </c>
      <c r="N324" t="n">
        <v>0</v>
      </c>
      <c r="O324" t="n">
        <v>36666.66666666666</v>
      </c>
      <c r="P324" t="n">
        <v>0</v>
      </c>
      <c r="Q324" t="n">
        <v>0</v>
      </c>
      <c r="R324" t="n">
        <v>0</v>
      </c>
      <c r="S324" t="n">
        <v>0</v>
      </c>
      <c r="T324" t="inlineStr">
        <is>
          <t>BSA</t>
        </is>
      </c>
      <c r="U324" t="inlineStr">
        <is>
          <t>BSA</t>
        </is>
      </c>
    </row>
    <row r="325">
      <c r="C325" t="inlineStr">
        <is>
          <t>BSA</t>
        </is>
      </c>
      <c r="D325" t="inlineStr">
        <is>
          <t>BSA</t>
        </is>
      </c>
      <c r="E325" t="inlineStr">
        <is>
          <t>당월</t>
        </is>
      </c>
      <c r="F325" t="inlineStr">
        <is>
          <t>7월 6주차</t>
        </is>
      </c>
      <c r="G325" t="inlineStr">
        <is>
          <t>네이버</t>
        </is>
      </c>
      <c r="H325" s="13" t="n">
        <v>45138</v>
      </c>
      <c r="I325" t="inlineStr">
        <is>
          <t>MO</t>
        </is>
      </c>
      <c r="J325" t="inlineStr">
        <is>
          <t>00.브랜드검색PCMO</t>
        </is>
      </c>
      <c r="K325" t="inlineStr">
        <is>
          <t>01.MO브랜드검색</t>
        </is>
      </c>
      <c r="M325" t="n">
        <v>0</v>
      </c>
      <c r="N325" t="n">
        <v>0</v>
      </c>
      <c r="O325" t="n">
        <v>51333.33333333334</v>
      </c>
      <c r="P325" t="n">
        <v>0</v>
      </c>
      <c r="Q325" t="n">
        <v>0</v>
      </c>
      <c r="R325" t="n">
        <v>0</v>
      </c>
      <c r="S325" t="n">
        <v>0</v>
      </c>
      <c r="T325" t="inlineStr">
        <is>
          <t>BSA</t>
        </is>
      </c>
      <c r="U325" t="inlineStr">
        <is>
          <t>BSA</t>
        </is>
      </c>
    </row>
    <row r="326">
      <c r="H326" s="3" t="n"/>
    </row>
    <row r="327">
      <c r="H327" s="13" t="n">
        <v>45139</v>
      </c>
    </row>
    <row r="328">
      <c r="H328" s="13" t="n">
        <v>45140</v>
      </c>
    </row>
    <row r="329">
      <c r="H329" s="13" t="n">
        <v>45141</v>
      </c>
    </row>
    <row r="330">
      <c r="H330" s="13" t="n">
        <v>45142</v>
      </c>
    </row>
    <row r="331">
      <c r="H331" s="13" t="n">
        <v>45143</v>
      </c>
    </row>
    <row r="332">
      <c r="H332" s="13" t="n">
        <v>45144</v>
      </c>
    </row>
    <row r="333">
      <c r="H333" s="13" t="n">
        <v>45145</v>
      </c>
    </row>
    <row r="334">
      <c r="H334" s="13" t="n">
        <v>45146</v>
      </c>
    </row>
    <row r="335">
      <c r="H335" s="13" t="n">
        <v>45147</v>
      </c>
    </row>
    <row r="336">
      <c r="H336" s="13" t="n"/>
    </row>
    <row r="337">
      <c r="H337" s="13" t="n"/>
    </row>
    <row r="338">
      <c r="C338" t="inlineStr">
        <is>
          <t>BSA</t>
        </is>
      </c>
      <c r="D338" t="inlineStr">
        <is>
          <t>BSA</t>
        </is>
      </c>
      <c r="E338" t="inlineStr">
        <is>
          <t>당월</t>
        </is>
      </c>
      <c r="F338" t="inlineStr">
        <is>
          <t>7월 5주차</t>
        </is>
      </c>
      <c r="G338" t="inlineStr">
        <is>
          <t>네이버</t>
        </is>
      </c>
      <c r="H338" s="13" t="n">
        <v>45138</v>
      </c>
      <c r="I338" t="inlineStr">
        <is>
          <t>PC</t>
        </is>
      </c>
      <c r="J338" t="inlineStr">
        <is>
          <t>00.브랜드검색PCMO</t>
        </is>
      </c>
      <c r="K338" t="inlineStr">
        <is>
          <t>01.PC브랜드검색</t>
        </is>
      </c>
      <c r="M338" t="n">
        <v>0</v>
      </c>
      <c r="N338" t="n">
        <v>0</v>
      </c>
      <c r="O338" t="n">
        <v>36666.66666666666</v>
      </c>
      <c r="P338" t="n">
        <v>0</v>
      </c>
      <c r="Q338" t="n">
        <v>0</v>
      </c>
      <c r="R338" t="n">
        <v>0</v>
      </c>
      <c r="S338" t="n">
        <v>0</v>
      </c>
      <c r="T338" t="inlineStr">
        <is>
          <t>BSA</t>
        </is>
      </c>
      <c r="U338" t="inlineStr">
        <is>
          <t>BSA</t>
        </is>
      </c>
    </row>
    <row r="339">
      <c r="C339" t="inlineStr">
        <is>
          <t>BSA</t>
        </is>
      </c>
      <c r="D339" t="inlineStr">
        <is>
          <t>BSA</t>
        </is>
      </c>
      <c r="E339" t="inlineStr">
        <is>
          <t>당월</t>
        </is>
      </c>
      <c r="F339" t="inlineStr">
        <is>
          <t>7월 5주차</t>
        </is>
      </c>
      <c r="G339" t="inlineStr">
        <is>
          <t>네이버</t>
        </is>
      </c>
      <c r="H339" s="13" t="n">
        <v>45138</v>
      </c>
      <c r="I339" t="inlineStr">
        <is>
          <t>MO</t>
        </is>
      </c>
      <c r="J339" t="inlineStr">
        <is>
          <t>00.브랜드검색PCMO</t>
        </is>
      </c>
      <c r="K339" t="inlineStr">
        <is>
          <t>01.MO브랜드검색</t>
        </is>
      </c>
      <c r="M339" t="n">
        <v>0</v>
      </c>
      <c r="N339" t="n">
        <v>0</v>
      </c>
      <c r="O339" t="n">
        <v>51333.33333333334</v>
      </c>
      <c r="P339" t="n">
        <v>0</v>
      </c>
      <c r="Q339" t="n">
        <v>0</v>
      </c>
      <c r="R339" t="n">
        <v>0</v>
      </c>
      <c r="S339" t="n">
        <v>0</v>
      </c>
      <c r="T339" t="inlineStr">
        <is>
          <t>BSA</t>
        </is>
      </c>
      <c r="U339" t="inlineStr">
        <is>
          <t>BSA</t>
        </is>
      </c>
    </row>
    <row r="340">
      <c r="C340" t="inlineStr">
        <is>
          <t>BSA</t>
        </is>
      </c>
      <c r="D340" t="inlineStr">
        <is>
          <t>BSA</t>
        </is>
      </c>
      <c r="E340" t="inlineStr">
        <is>
          <t>당월</t>
        </is>
      </c>
      <c r="F340" t="inlineStr">
        <is>
          <t>7월 5주차</t>
        </is>
      </c>
      <c r="G340" t="inlineStr">
        <is>
          <t>네이버</t>
        </is>
      </c>
      <c r="H340" s="13" t="n">
        <v>45139</v>
      </c>
      <c r="I340" t="inlineStr">
        <is>
          <t>PC</t>
        </is>
      </c>
      <c r="J340" t="inlineStr">
        <is>
          <t>00.브랜드검색PCMO</t>
        </is>
      </c>
      <c r="K340" t="inlineStr">
        <is>
          <t>01.PC브랜드검색</t>
        </is>
      </c>
      <c r="M340" t="n">
        <v>0</v>
      </c>
      <c r="N340" t="n">
        <v>0</v>
      </c>
      <c r="O340" t="n">
        <v>36666.66666666666</v>
      </c>
      <c r="P340" t="n">
        <v>0</v>
      </c>
      <c r="Q340" t="n">
        <v>0</v>
      </c>
      <c r="R340" t="n">
        <v>0</v>
      </c>
      <c r="S340" t="n">
        <v>0</v>
      </c>
      <c r="T340" t="inlineStr">
        <is>
          <t>BSA</t>
        </is>
      </c>
      <c r="U340" t="inlineStr">
        <is>
          <t>BSA</t>
        </is>
      </c>
    </row>
    <row r="341">
      <c r="C341" t="inlineStr">
        <is>
          <t>BSA</t>
        </is>
      </c>
      <c r="D341" t="inlineStr">
        <is>
          <t>BSA</t>
        </is>
      </c>
      <c r="E341" t="inlineStr">
        <is>
          <t>당월</t>
        </is>
      </c>
      <c r="F341" t="inlineStr">
        <is>
          <t>7월 5주차</t>
        </is>
      </c>
      <c r="G341" t="inlineStr">
        <is>
          <t>네이버</t>
        </is>
      </c>
      <c r="H341" s="13" t="n">
        <v>45139</v>
      </c>
      <c r="I341" t="inlineStr">
        <is>
          <t>MO</t>
        </is>
      </c>
      <c r="J341" t="inlineStr">
        <is>
          <t>00.브랜드검색PCMO</t>
        </is>
      </c>
      <c r="K341" t="inlineStr">
        <is>
          <t>01.MO브랜드검색</t>
        </is>
      </c>
      <c r="M341" t="n">
        <v>0</v>
      </c>
      <c r="N341" t="n">
        <v>0</v>
      </c>
      <c r="O341" t="n">
        <v>51333.33333333334</v>
      </c>
      <c r="P341" t="n">
        <v>0</v>
      </c>
      <c r="Q341" t="n">
        <v>0</v>
      </c>
      <c r="R341" t="n">
        <v>0</v>
      </c>
      <c r="S341" t="n">
        <v>0</v>
      </c>
      <c r="T341" t="inlineStr">
        <is>
          <t>BSA</t>
        </is>
      </c>
      <c r="U341" t="inlineStr">
        <is>
          <t>BSA</t>
        </is>
      </c>
    </row>
    <row r="342">
      <c r="C342" t="inlineStr">
        <is>
          <t>BSA</t>
        </is>
      </c>
      <c r="D342" t="inlineStr">
        <is>
          <t>BSA</t>
        </is>
      </c>
      <c r="E342" t="inlineStr">
        <is>
          <t>당월</t>
        </is>
      </c>
      <c r="F342" t="inlineStr">
        <is>
          <t>7월 5주차</t>
        </is>
      </c>
      <c r="G342" t="inlineStr">
        <is>
          <t>네이버</t>
        </is>
      </c>
      <c r="H342" s="13" t="n">
        <v>45140</v>
      </c>
      <c r="I342" t="inlineStr">
        <is>
          <t>PC</t>
        </is>
      </c>
      <c r="J342" t="inlineStr">
        <is>
          <t>00.브랜드검색PCMO</t>
        </is>
      </c>
      <c r="K342" t="inlineStr">
        <is>
          <t>01.PC브랜드검색</t>
        </is>
      </c>
      <c r="M342" t="n">
        <v>0</v>
      </c>
      <c r="N342" t="n">
        <v>0</v>
      </c>
      <c r="O342" t="n">
        <v>36666.66666666666</v>
      </c>
      <c r="P342" t="n">
        <v>0</v>
      </c>
      <c r="Q342" t="n">
        <v>0</v>
      </c>
      <c r="R342" t="n">
        <v>0</v>
      </c>
      <c r="S342" t="n">
        <v>0</v>
      </c>
      <c r="T342" t="inlineStr">
        <is>
          <t>BSA</t>
        </is>
      </c>
      <c r="U342" t="inlineStr">
        <is>
          <t>BSA</t>
        </is>
      </c>
    </row>
    <row r="343">
      <c r="C343" t="inlineStr">
        <is>
          <t>BSA</t>
        </is>
      </c>
      <c r="D343" t="inlineStr">
        <is>
          <t>BSA</t>
        </is>
      </c>
      <c r="E343" t="inlineStr">
        <is>
          <t>당월</t>
        </is>
      </c>
      <c r="F343" t="inlineStr">
        <is>
          <t>7월 5주차</t>
        </is>
      </c>
      <c r="G343" t="inlineStr">
        <is>
          <t>네이버</t>
        </is>
      </c>
      <c r="H343" s="13" t="n">
        <v>45140</v>
      </c>
      <c r="I343" t="inlineStr">
        <is>
          <t>MO</t>
        </is>
      </c>
      <c r="J343" t="inlineStr">
        <is>
          <t>00.브랜드검색PCMO</t>
        </is>
      </c>
      <c r="K343" t="inlineStr">
        <is>
          <t>01.MO브랜드검색</t>
        </is>
      </c>
      <c r="M343" t="n">
        <v>0</v>
      </c>
      <c r="N343" t="n">
        <v>0</v>
      </c>
      <c r="O343" t="n">
        <v>51333.33333333334</v>
      </c>
      <c r="P343" t="n">
        <v>0</v>
      </c>
      <c r="Q343" t="n">
        <v>0</v>
      </c>
      <c r="R343" t="n">
        <v>0</v>
      </c>
      <c r="S343" t="n">
        <v>0</v>
      </c>
      <c r="T343" t="inlineStr">
        <is>
          <t>BSA</t>
        </is>
      </c>
      <c r="U343" t="inlineStr">
        <is>
          <t>BSA</t>
        </is>
      </c>
    </row>
    <row r="344">
      <c r="C344" t="inlineStr">
        <is>
          <t>BSA</t>
        </is>
      </c>
      <c r="D344" t="inlineStr">
        <is>
          <t>BSA</t>
        </is>
      </c>
      <c r="E344" t="inlineStr">
        <is>
          <t>당월</t>
        </is>
      </c>
      <c r="F344" t="inlineStr">
        <is>
          <t>7월 5주차</t>
        </is>
      </c>
      <c r="G344" t="inlineStr">
        <is>
          <t>네이버</t>
        </is>
      </c>
      <c r="H344" s="13" t="n">
        <v>45141</v>
      </c>
      <c r="I344" t="inlineStr">
        <is>
          <t>PC</t>
        </is>
      </c>
      <c r="J344" t="inlineStr">
        <is>
          <t>00.브랜드검색PCMO</t>
        </is>
      </c>
      <c r="K344" t="inlineStr">
        <is>
          <t>01.PC브랜드검색</t>
        </is>
      </c>
      <c r="M344" t="n">
        <v>0</v>
      </c>
      <c r="N344" t="n">
        <v>0</v>
      </c>
      <c r="O344" t="n">
        <v>36666.66666666666</v>
      </c>
      <c r="P344" t="n">
        <v>0</v>
      </c>
      <c r="Q344" t="n">
        <v>0</v>
      </c>
      <c r="R344" t="n">
        <v>0</v>
      </c>
      <c r="S344" t="n">
        <v>0</v>
      </c>
      <c r="T344" t="inlineStr">
        <is>
          <t>BSA</t>
        </is>
      </c>
      <c r="U344" t="inlineStr">
        <is>
          <t>BSA</t>
        </is>
      </c>
    </row>
    <row r="345">
      <c r="C345" t="inlineStr">
        <is>
          <t>BSA</t>
        </is>
      </c>
      <c r="D345" t="inlineStr">
        <is>
          <t>BSA</t>
        </is>
      </c>
      <c r="E345" t="inlineStr">
        <is>
          <t>당월</t>
        </is>
      </c>
      <c r="F345" t="inlineStr">
        <is>
          <t>7월 5주차</t>
        </is>
      </c>
      <c r="G345" t="inlineStr">
        <is>
          <t>네이버</t>
        </is>
      </c>
      <c r="H345" s="13" t="n">
        <v>45141</v>
      </c>
      <c r="I345" t="inlineStr">
        <is>
          <t>MO</t>
        </is>
      </c>
      <c r="J345" t="inlineStr">
        <is>
          <t>00.브랜드검색PCMO</t>
        </is>
      </c>
      <c r="K345" t="inlineStr">
        <is>
          <t>01.MO브랜드검색</t>
        </is>
      </c>
      <c r="M345" t="n">
        <v>0</v>
      </c>
      <c r="N345" t="n">
        <v>0</v>
      </c>
      <c r="O345" t="n">
        <v>51333.33333333334</v>
      </c>
      <c r="P345" t="n">
        <v>0</v>
      </c>
      <c r="Q345" t="n">
        <v>0</v>
      </c>
      <c r="R345" t="n">
        <v>0</v>
      </c>
      <c r="S345" t="n">
        <v>0</v>
      </c>
      <c r="T345" t="inlineStr">
        <is>
          <t>BSA</t>
        </is>
      </c>
      <c r="U345" t="inlineStr">
        <is>
          <t>BSA</t>
        </is>
      </c>
    </row>
    <row r="346">
      <c r="C346" t="inlineStr">
        <is>
          <t>BSA</t>
        </is>
      </c>
      <c r="D346" t="inlineStr">
        <is>
          <t>BSA</t>
        </is>
      </c>
      <c r="E346" t="inlineStr">
        <is>
          <t>당월</t>
        </is>
      </c>
      <c r="F346" t="inlineStr">
        <is>
          <t>7월 5주차</t>
        </is>
      </c>
      <c r="G346" t="inlineStr">
        <is>
          <t>네이버</t>
        </is>
      </c>
      <c r="H346" s="13" t="n">
        <v>45142</v>
      </c>
      <c r="I346" t="inlineStr">
        <is>
          <t>PC</t>
        </is>
      </c>
      <c r="J346" t="inlineStr">
        <is>
          <t>00.브랜드검색PCMO</t>
        </is>
      </c>
      <c r="K346" t="inlineStr">
        <is>
          <t>01.PC브랜드검색</t>
        </is>
      </c>
      <c r="M346" t="n">
        <v>0</v>
      </c>
      <c r="N346" t="n">
        <v>0</v>
      </c>
      <c r="O346" t="n">
        <v>36666.66666666666</v>
      </c>
      <c r="P346" t="n">
        <v>0</v>
      </c>
      <c r="Q346" t="n">
        <v>0</v>
      </c>
      <c r="R346" t="n">
        <v>0</v>
      </c>
      <c r="S346" t="n">
        <v>0</v>
      </c>
      <c r="T346" t="inlineStr">
        <is>
          <t>BSA</t>
        </is>
      </c>
      <c r="U346" t="inlineStr">
        <is>
          <t>BSA</t>
        </is>
      </c>
    </row>
    <row r="347">
      <c r="C347" t="inlineStr">
        <is>
          <t>BSA</t>
        </is>
      </c>
      <c r="D347" t="inlineStr">
        <is>
          <t>BSA</t>
        </is>
      </c>
      <c r="E347" t="inlineStr">
        <is>
          <t>당월</t>
        </is>
      </c>
      <c r="F347" t="inlineStr">
        <is>
          <t>7월 5주차</t>
        </is>
      </c>
      <c r="G347" t="inlineStr">
        <is>
          <t>네이버</t>
        </is>
      </c>
      <c r="H347" s="13" t="n">
        <v>45142</v>
      </c>
      <c r="I347" t="inlineStr">
        <is>
          <t>MO</t>
        </is>
      </c>
      <c r="J347" t="inlineStr">
        <is>
          <t>00.브랜드검색PCMO</t>
        </is>
      </c>
      <c r="K347" t="inlineStr">
        <is>
          <t>01.MO브랜드검색</t>
        </is>
      </c>
      <c r="M347" t="n">
        <v>0</v>
      </c>
      <c r="N347" t="n">
        <v>0</v>
      </c>
      <c r="O347" t="n">
        <v>51333.33333333334</v>
      </c>
      <c r="P347" t="n">
        <v>0</v>
      </c>
      <c r="Q347" t="n">
        <v>0</v>
      </c>
      <c r="R347" t="n">
        <v>0</v>
      </c>
      <c r="S347" t="n">
        <v>0</v>
      </c>
      <c r="T347" t="inlineStr">
        <is>
          <t>BSA</t>
        </is>
      </c>
      <c r="U347" t="inlineStr">
        <is>
          <t>BSA</t>
        </is>
      </c>
    </row>
    <row r="348">
      <c r="C348" t="inlineStr">
        <is>
          <t>BSA</t>
        </is>
      </c>
      <c r="D348" t="inlineStr">
        <is>
          <t>BSA</t>
        </is>
      </c>
      <c r="E348" t="inlineStr">
        <is>
          <t>당월</t>
        </is>
      </c>
      <c r="F348" t="inlineStr">
        <is>
          <t>7월 5주차</t>
        </is>
      </c>
      <c r="G348" t="inlineStr">
        <is>
          <t>네이버</t>
        </is>
      </c>
      <c r="H348" s="13" t="n">
        <v>45143</v>
      </c>
      <c r="I348" t="inlineStr">
        <is>
          <t>PC</t>
        </is>
      </c>
      <c r="J348" t="inlineStr">
        <is>
          <t>00.브랜드검색PCMO</t>
        </is>
      </c>
      <c r="K348" t="inlineStr">
        <is>
          <t>01.PC브랜드검색</t>
        </is>
      </c>
      <c r="M348" t="n">
        <v>0</v>
      </c>
      <c r="N348" t="n">
        <v>0</v>
      </c>
      <c r="O348" t="n">
        <v>36666.66666666666</v>
      </c>
      <c r="P348" t="n">
        <v>0</v>
      </c>
      <c r="Q348" t="n">
        <v>0</v>
      </c>
      <c r="R348" t="n">
        <v>0</v>
      </c>
      <c r="S348" t="n">
        <v>0</v>
      </c>
      <c r="T348" t="inlineStr">
        <is>
          <t>BSA</t>
        </is>
      </c>
      <c r="U348" t="inlineStr">
        <is>
          <t>BSA</t>
        </is>
      </c>
    </row>
    <row r="349">
      <c r="C349" t="inlineStr">
        <is>
          <t>BSA</t>
        </is>
      </c>
      <c r="D349" t="inlineStr">
        <is>
          <t>BSA</t>
        </is>
      </c>
      <c r="E349" t="inlineStr">
        <is>
          <t>당월</t>
        </is>
      </c>
      <c r="F349" t="inlineStr">
        <is>
          <t>7월 5주차</t>
        </is>
      </c>
      <c r="G349" t="inlineStr">
        <is>
          <t>네이버</t>
        </is>
      </c>
      <c r="H349" s="13" t="n">
        <v>45143</v>
      </c>
      <c r="I349" t="inlineStr">
        <is>
          <t>MO</t>
        </is>
      </c>
      <c r="J349" t="inlineStr">
        <is>
          <t>00.브랜드검색PCMO</t>
        </is>
      </c>
      <c r="K349" t="inlineStr">
        <is>
          <t>01.MO브랜드검색</t>
        </is>
      </c>
      <c r="M349" t="n">
        <v>0</v>
      </c>
      <c r="N349" t="n">
        <v>0</v>
      </c>
      <c r="O349" t="n">
        <v>51333.33333333334</v>
      </c>
      <c r="P349" t="n">
        <v>0</v>
      </c>
      <c r="Q349" t="n">
        <v>0</v>
      </c>
      <c r="R349" t="n">
        <v>0</v>
      </c>
      <c r="S349" t="n">
        <v>0</v>
      </c>
      <c r="T349" t="inlineStr">
        <is>
          <t>BSA</t>
        </is>
      </c>
      <c r="U349" t="inlineStr">
        <is>
          <t>BSA</t>
        </is>
      </c>
    </row>
    <row r="350">
      <c r="C350" t="inlineStr">
        <is>
          <t>BSA</t>
        </is>
      </c>
      <c r="D350" t="inlineStr">
        <is>
          <t>BSA</t>
        </is>
      </c>
      <c r="E350" t="inlineStr">
        <is>
          <t>당월</t>
        </is>
      </c>
      <c r="F350" t="inlineStr">
        <is>
          <t>7월 5주차</t>
        </is>
      </c>
      <c r="G350" t="inlineStr">
        <is>
          <t>네이버</t>
        </is>
      </c>
      <c r="H350" s="13" t="n">
        <v>45144</v>
      </c>
      <c r="I350" t="inlineStr">
        <is>
          <t>PC</t>
        </is>
      </c>
      <c r="J350" t="inlineStr">
        <is>
          <t>00.브랜드검색PCMO</t>
        </is>
      </c>
      <c r="K350" t="inlineStr">
        <is>
          <t>01.PC브랜드검색</t>
        </is>
      </c>
      <c r="M350" t="n">
        <v>0</v>
      </c>
      <c r="N350" t="n">
        <v>0</v>
      </c>
      <c r="O350" t="n">
        <v>36666.66666666666</v>
      </c>
      <c r="P350" t="n">
        <v>0</v>
      </c>
      <c r="Q350" t="n">
        <v>0</v>
      </c>
      <c r="R350" t="n">
        <v>0</v>
      </c>
      <c r="S350" t="n">
        <v>0</v>
      </c>
      <c r="T350" t="inlineStr">
        <is>
          <t>BSA</t>
        </is>
      </c>
      <c r="U350" t="inlineStr">
        <is>
          <t>BSA</t>
        </is>
      </c>
    </row>
    <row r="351">
      <c r="C351" t="inlineStr">
        <is>
          <t>BSA</t>
        </is>
      </c>
      <c r="D351" t="inlineStr">
        <is>
          <t>BSA</t>
        </is>
      </c>
      <c r="E351" t="inlineStr">
        <is>
          <t>당월</t>
        </is>
      </c>
      <c r="F351" t="inlineStr">
        <is>
          <t>7월 5주차</t>
        </is>
      </c>
      <c r="G351" t="inlineStr">
        <is>
          <t>네이버</t>
        </is>
      </c>
      <c r="H351" s="13" t="n">
        <v>45144</v>
      </c>
      <c r="I351" t="inlineStr">
        <is>
          <t>MO</t>
        </is>
      </c>
      <c r="J351" t="inlineStr">
        <is>
          <t>00.브랜드검색PCMO</t>
        </is>
      </c>
      <c r="K351" t="inlineStr">
        <is>
          <t>01.MO브랜드검색</t>
        </is>
      </c>
      <c r="M351" t="n">
        <v>0</v>
      </c>
      <c r="N351" t="n">
        <v>0</v>
      </c>
      <c r="O351" t="n">
        <v>51333.33333333334</v>
      </c>
      <c r="P351" t="n">
        <v>0</v>
      </c>
      <c r="Q351" t="n">
        <v>0</v>
      </c>
      <c r="R351" t="n">
        <v>0</v>
      </c>
      <c r="S351" t="n">
        <v>0</v>
      </c>
      <c r="T351" t="inlineStr">
        <is>
          <t>BSA</t>
        </is>
      </c>
      <c r="U351" t="inlineStr">
        <is>
          <t>BSA</t>
        </is>
      </c>
    </row>
    <row r="353">
      <c r="H353" s="13" t="n">
        <v>45144</v>
      </c>
      <c r="J353" s="13" t="n">
        <v>45151</v>
      </c>
    </row>
    <row r="354">
      <c r="H354" s="13" t="n">
        <v>45145</v>
      </c>
      <c r="J354" s="13" t="n">
        <v>45152</v>
      </c>
    </row>
    <row r="355">
      <c r="H355" s="13" t="n">
        <v>45146</v>
      </c>
      <c r="J355" s="13" t="n">
        <v>45153</v>
      </c>
    </row>
    <row r="356">
      <c r="H356" s="13" t="n">
        <v>45147</v>
      </c>
      <c r="J356" s="13" t="n">
        <v>45154</v>
      </c>
    </row>
    <row r="357">
      <c r="H357" s="13" t="n">
        <v>45148</v>
      </c>
      <c r="J357" s="13" t="n">
        <v>45155</v>
      </c>
    </row>
    <row r="358">
      <c r="H358" s="13" t="n">
        <v>45149</v>
      </c>
      <c r="J358" s="13" t="n">
        <v>45156</v>
      </c>
    </row>
    <row r="359">
      <c r="H359" s="13" t="n">
        <v>45150</v>
      </c>
      <c r="J359" s="13" t="n">
        <v>45157</v>
      </c>
    </row>
    <row r="360">
      <c r="H360" s="13" t="n">
        <v>45151</v>
      </c>
      <c r="J360" s="13" t="n">
        <v>45158</v>
      </c>
    </row>
    <row r="363">
      <c r="C363" t="inlineStr">
        <is>
          <t>BSA</t>
        </is>
      </c>
      <c r="D363" t="inlineStr">
        <is>
          <t>BSA</t>
        </is>
      </c>
      <c r="E363" t="inlineStr">
        <is>
          <t>당월</t>
        </is>
      </c>
      <c r="F363" t="inlineStr">
        <is>
          <t>8월 2주차</t>
        </is>
      </c>
      <c r="G363" t="inlineStr">
        <is>
          <t>네이버</t>
        </is>
      </c>
      <c r="H363" s="13" t="n">
        <v>45145</v>
      </c>
      <c r="I363" t="inlineStr">
        <is>
          <t>PC</t>
        </is>
      </c>
      <c r="J363" t="inlineStr">
        <is>
          <t>00.브랜드검색PCMO</t>
        </is>
      </c>
      <c r="K363" t="inlineStr">
        <is>
          <t>01.PC브랜드검색</t>
        </is>
      </c>
      <c r="M363" t="n">
        <v>0</v>
      </c>
      <c r="N363" t="n">
        <v>0</v>
      </c>
      <c r="O363" t="n">
        <v>36666.66666666666</v>
      </c>
      <c r="P363" t="n">
        <v>0</v>
      </c>
      <c r="Q363" t="n">
        <v>0</v>
      </c>
      <c r="R363" t="n">
        <v>0</v>
      </c>
      <c r="S363" t="n">
        <v>0</v>
      </c>
      <c r="T363" t="inlineStr">
        <is>
          <t>BSA</t>
        </is>
      </c>
      <c r="U363" t="inlineStr">
        <is>
          <t>BSA</t>
        </is>
      </c>
    </row>
    <row r="364">
      <c r="C364" t="inlineStr">
        <is>
          <t>BSA</t>
        </is>
      </c>
      <c r="D364" t="inlineStr">
        <is>
          <t>BSA</t>
        </is>
      </c>
      <c r="E364" t="inlineStr">
        <is>
          <t>당월</t>
        </is>
      </c>
      <c r="F364" t="inlineStr">
        <is>
          <t>8월 2주차</t>
        </is>
      </c>
      <c r="G364" t="inlineStr">
        <is>
          <t>네이버</t>
        </is>
      </c>
      <c r="H364" s="13" t="n">
        <v>45145</v>
      </c>
      <c r="I364" t="inlineStr">
        <is>
          <t>MO</t>
        </is>
      </c>
      <c r="J364" t="inlineStr">
        <is>
          <t>00.브랜드검색PCMO</t>
        </is>
      </c>
      <c r="K364" t="inlineStr">
        <is>
          <t>01.MO브랜드검색</t>
        </is>
      </c>
      <c r="M364" t="n">
        <v>0</v>
      </c>
      <c r="N364" t="n">
        <v>0</v>
      </c>
      <c r="O364" t="n">
        <v>51333.33333333334</v>
      </c>
      <c r="P364" t="n">
        <v>0</v>
      </c>
      <c r="Q364" t="n">
        <v>0</v>
      </c>
      <c r="R364" t="n">
        <v>0</v>
      </c>
      <c r="S364" t="n">
        <v>0</v>
      </c>
      <c r="T364" t="inlineStr">
        <is>
          <t>BSA</t>
        </is>
      </c>
      <c r="U364" t="inlineStr">
        <is>
          <t>BSA</t>
        </is>
      </c>
    </row>
    <row r="365">
      <c r="C365" t="inlineStr">
        <is>
          <t>BSA</t>
        </is>
      </c>
      <c r="D365" t="inlineStr">
        <is>
          <t>BSA</t>
        </is>
      </c>
      <c r="E365" t="inlineStr">
        <is>
          <t>당월</t>
        </is>
      </c>
      <c r="F365" t="inlineStr">
        <is>
          <t>8월 2주차</t>
        </is>
      </c>
      <c r="G365" t="inlineStr">
        <is>
          <t>네이버</t>
        </is>
      </c>
      <c r="H365" s="13" t="n">
        <v>45146</v>
      </c>
      <c r="I365" t="inlineStr">
        <is>
          <t>PC</t>
        </is>
      </c>
      <c r="J365" t="inlineStr">
        <is>
          <t>00.브랜드검색PCMO</t>
        </is>
      </c>
      <c r="K365" t="inlineStr">
        <is>
          <t>01.PC브랜드검색</t>
        </is>
      </c>
      <c r="M365" t="n">
        <v>0</v>
      </c>
      <c r="N365" t="n">
        <v>0</v>
      </c>
      <c r="O365" t="n">
        <v>36666.66666666666</v>
      </c>
      <c r="P365" t="n">
        <v>0</v>
      </c>
      <c r="Q365" t="n">
        <v>0</v>
      </c>
      <c r="R365" t="n">
        <v>0</v>
      </c>
      <c r="S365" t="n">
        <v>0</v>
      </c>
      <c r="T365" t="inlineStr">
        <is>
          <t>BSA</t>
        </is>
      </c>
      <c r="U365" t="inlineStr">
        <is>
          <t>BSA</t>
        </is>
      </c>
    </row>
    <row r="366">
      <c r="C366" t="inlineStr">
        <is>
          <t>BSA</t>
        </is>
      </c>
      <c r="D366" t="inlineStr">
        <is>
          <t>BSA</t>
        </is>
      </c>
      <c r="E366" t="inlineStr">
        <is>
          <t>당월</t>
        </is>
      </c>
      <c r="F366" t="inlineStr">
        <is>
          <t>8월 2주차</t>
        </is>
      </c>
      <c r="G366" t="inlineStr">
        <is>
          <t>네이버</t>
        </is>
      </c>
      <c r="H366" s="13" t="n">
        <v>45146</v>
      </c>
      <c r="I366" t="inlineStr">
        <is>
          <t>MO</t>
        </is>
      </c>
      <c r="J366" t="inlineStr">
        <is>
          <t>00.브랜드검색PCMO</t>
        </is>
      </c>
      <c r="K366" t="inlineStr">
        <is>
          <t>01.MO브랜드검색</t>
        </is>
      </c>
      <c r="M366" t="n">
        <v>0</v>
      </c>
      <c r="N366" t="n">
        <v>0</v>
      </c>
      <c r="O366" t="n">
        <v>51333.33333333334</v>
      </c>
      <c r="P366" t="n">
        <v>0</v>
      </c>
      <c r="Q366" t="n">
        <v>0</v>
      </c>
      <c r="R366" t="n">
        <v>0</v>
      </c>
      <c r="S366" t="n">
        <v>0</v>
      </c>
      <c r="T366" t="inlineStr">
        <is>
          <t>BSA</t>
        </is>
      </c>
      <c r="U366" t="inlineStr">
        <is>
          <t>BSA</t>
        </is>
      </c>
    </row>
    <row r="367">
      <c r="C367" t="inlineStr">
        <is>
          <t>BSA</t>
        </is>
      </c>
      <c r="D367" t="inlineStr">
        <is>
          <t>BSA</t>
        </is>
      </c>
      <c r="E367" t="inlineStr">
        <is>
          <t>당월</t>
        </is>
      </c>
      <c r="F367" t="inlineStr">
        <is>
          <t>8월 2주차</t>
        </is>
      </c>
      <c r="G367" t="inlineStr">
        <is>
          <t>네이버</t>
        </is>
      </c>
      <c r="H367" s="13" t="n">
        <v>45147</v>
      </c>
      <c r="I367" t="inlineStr">
        <is>
          <t>PC</t>
        </is>
      </c>
      <c r="J367" t="inlineStr">
        <is>
          <t>00.브랜드검색PCMO</t>
        </is>
      </c>
      <c r="K367" t="inlineStr">
        <is>
          <t>01.PC브랜드검색</t>
        </is>
      </c>
      <c r="M367" t="n">
        <v>0</v>
      </c>
      <c r="N367" t="n">
        <v>0</v>
      </c>
      <c r="O367" t="n">
        <v>36666.66666666666</v>
      </c>
      <c r="P367" t="n">
        <v>0</v>
      </c>
      <c r="Q367" t="n">
        <v>0</v>
      </c>
      <c r="R367" t="n">
        <v>0</v>
      </c>
      <c r="S367" t="n">
        <v>0</v>
      </c>
      <c r="T367" t="inlineStr">
        <is>
          <t>BSA</t>
        </is>
      </c>
      <c r="U367" t="inlineStr">
        <is>
          <t>BSA</t>
        </is>
      </c>
    </row>
    <row r="368">
      <c r="C368" t="inlineStr">
        <is>
          <t>BSA</t>
        </is>
      </c>
      <c r="D368" t="inlineStr">
        <is>
          <t>BSA</t>
        </is>
      </c>
      <c r="E368" t="inlineStr">
        <is>
          <t>당월</t>
        </is>
      </c>
      <c r="F368" t="inlineStr">
        <is>
          <t>8월 2주차</t>
        </is>
      </c>
      <c r="G368" t="inlineStr">
        <is>
          <t>네이버</t>
        </is>
      </c>
      <c r="H368" s="13" t="n">
        <v>45147</v>
      </c>
      <c r="I368" t="inlineStr">
        <is>
          <t>MO</t>
        </is>
      </c>
      <c r="J368" t="inlineStr">
        <is>
          <t>00.브랜드검색PCMO</t>
        </is>
      </c>
      <c r="K368" t="inlineStr">
        <is>
          <t>01.MO브랜드검색</t>
        </is>
      </c>
      <c r="M368" t="n">
        <v>0</v>
      </c>
      <c r="N368" t="n">
        <v>0</v>
      </c>
      <c r="O368" t="n">
        <v>51333.33333333334</v>
      </c>
      <c r="P368" t="n">
        <v>0</v>
      </c>
      <c r="Q368" t="n">
        <v>0</v>
      </c>
      <c r="R368" t="n">
        <v>0</v>
      </c>
      <c r="S368" t="n">
        <v>0</v>
      </c>
      <c r="T368" t="inlineStr">
        <is>
          <t>BSA</t>
        </is>
      </c>
      <c r="U368" t="inlineStr">
        <is>
          <t>BSA</t>
        </is>
      </c>
    </row>
    <row r="369">
      <c r="C369" t="inlineStr">
        <is>
          <t>BSA</t>
        </is>
      </c>
      <c r="D369" t="inlineStr">
        <is>
          <t>BSA</t>
        </is>
      </c>
      <c r="E369" t="inlineStr">
        <is>
          <t>당월</t>
        </is>
      </c>
      <c r="F369" t="inlineStr">
        <is>
          <t>8월 2주차</t>
        </is>
      </c>
      <c r="G369" t="inlineStr">
        <is>
          <t>네이버</t>
        </is>
      </c>
      <c r="H369" s="13" t="n">
        <v>45148</v>
      </c>
      <c r="I369" t="inlineStr">
        <is>
          <t>PC</t>
        </is>
      </c>
      <c r="J369" t="inlineStr">
        <is>
          <t>00.브랜드검색PCMO</t>
        </is>
      </c>
      <c r="K369" t="inlineStr">
        <is>
          <t>01.PC브랜드검색</t>
        </is>
      </c>
      <c r="M369" t="n">
        <v>0</v>
      </c>
      <c r="N369" t="n">
        <v>0</v>
      </c>
      <c r="O369" t="n">
        <v>36666.66666666666</v>
      </c>
      <c r="P369" t="n">
        <v>0</v>
      </c>
      <c r="Q369" t="n">
        <v>0</v>
      </c>
      <c r="R369" t="n">
        <v>0</v>
      </c>
      <c r="S369" t="n">
        <v>0</v>
      </c>
      <c r="T369" t="inlineStr">
        <is>
          <t>BSA</t>
        </is>
      </c>
      <c r="U369" t="inlineStr">
        <is>
          <t>BSA</t>
        </is>
      </c>
    </row>
    <row r="370">
      <c r="C370" t="inlineStr">
        <is>
          <t>BSA</t>
        </is>
      </c>
      <c r="D370" t="inlineStr">
        <is>
          <t>BSA</t>
        </is>
      </c>
      <c r="E370" t="inlineStr">
        <is>
          <t>당월</t>
        </is>
      </c>
      <c r="F370" t="inlineStr">
        <is>
          <t>8월 2주차</t>
        </is>
      </c>
      <c r="G370" t="inlineStr">
        <is>
          <t>네이버</t>
        </is>
      </c>
      <c r="H370" s="13" t="n">
        <v>45148</v>
      </c>
      <c r="I370" t="inlineStr">
        <is>
          <t>MO</t>
        </is>
      </c>
      <c r="J370" t="inlineStr">
        <is>
          <t>00.브랜드검색PCMO</t>
        </is>
      </c>
      <c r="K370" t="inlineStr">
        <is>
          <t>01.MO브랜드검색</t>
        </is>
      </c>
      <c r="M370" t="n">
        <v>0</v>
      </c>
      <c r="N370" t="n">
        <v>0</v>
      </c>
      <c r="O370" t="n">
        <v>51333.33333333334</v>
      </c>
      <c r="P370" t="n">
        <v>0</v>
      </c>
      <c r="Q370" t="n">
        <v>0</v>
      </c>
      <c r="R370" t="n">
        <v>0</v>
      </c>
      <c r="S370" t="n">
        <v>0</v>
      </c>
      <c r="T370" t="inlineStr">
        <is>
          <t>BSA</t>
        </is>
      </c>
      <c r="U370" t="inlineStr">
        <is>
          <t>BSA</t>
        </is>
      </c>
    </row>
    <row r="371">
      <c r="C371" t="inlineStr">
        <is>
          <t>BSA</t>
        </is>
      </c>
      <c r="D371" t="inlineStr">
        <is>
          <t>BSA</t>
        </is>
      </c>
      <c r="E371" t="inlineStr">
        <is>
          <t>당월</t>
        </is>
      </c>
      <c r="F371" t="inlineStr">
        <is>
          <t>8월 2주차</t>
        </is>
      </c>
      <c r="G371" t="inlineStr">
        <is>
          <t>네이버</t>
        </is>
      </c>
      <c r="H371" s="13" t="n">
        <v>45149</v>
      </c>
      <c r="I371" t="inlineStr">
        <is>
          <t>PC</t>
        </is>
      </c>
      <c r="J371" t="inlineStr">
        <is>
          <t>00.브랜드검색PCMO</t>
        </is>
      </c>
      <c r="K371" t="inlineStr">
        <is>
          <t>01.PC브랜드검색</t>
        </is>
      </c>
      <c r="M371" t="n">
        <v>0</v>
      </c>
      <c r="N371" t="n">
        <v>0</v>
      </c>
      <c r="O371" t="n">
        <v>36666.66666666666</v>
      </c>
      <c r="P371" t="n">
        <v>0</v>
      </c>
      <c r="Q371" t="n">
        <v>0</v>
      </c>
      <c r="R371" t="n">
        <v>0</v>
      </c>
      <c r="S371" t="n">
        <v>0</v>
      </c>
      <c r="T371" t="inlineStr">
        <is>
          <t>BSA</t>
        </is>
      </c>
      <c r="U371" t="inlineStr">
        <is>
          <t>BSA</t>
        </is>
      </c>
    </row>
    <row r="372">
      <c r="C372" t="inlineStr">
        <is>
          <t>BSA</t>
        </is>
      </c>
      <c r="D372" t="inlineStr">
        <is>
          <t>BSA</t>
        </is>
      </c>
      <c r="E372" t="inlineStr">
        <is>
          <t>당월</t>
        </is>
      </c>
      <c r="F372" t="inlineStr">
        <is>
          <t>8월 2주차</t>
        </is>
      </c>
      <c r="G372" t="inlineStr">
        <is>
          <t>네이버</t>
        </is>
      </c>
      <c r="H372" s="13" t="n">
        <v>45149</v>
      </c>
      <c r="I372" t="inlineStr">
        <is>
          <t>MO</t>
        </is>
      </c>
      <c r="J372" t="inlineStr">
        <is>
          <t>00.브랜드검색PCMO</t>
        </is>
      </c>
      <c r="K372" t="inlineStr">
        <is>
          <t>01.MO브랜드검색</t>
        </is>
      </c>
      <c r="M372" t="n">
        <v>0</v>
      </c>
      <c r="N372" t="n">
        <v>0</v>
      </c>
      <c r="O372" t="n">
        <v>51333.33333333334</v>
      </c>
      <c r="P372" t="n">
        <v>0</v>
      </c>
      <c r="Q372" t="n">
        <v>0</v>
      </c>
      <c r="R372" t="n">
        <v>0</v>
      </c>
      <c r="S372" t="n">
        <v>0</v>
      </c>
      <c r="T372" t="inlineStr">
        <is>
          <t>BSA</t>
        </is>
      </c>
      <c r="U372" t="inlineStr">
        <is>
          <t>BSA</t>
        </is>
      </c>
    </row>
    <row r="373">
      <c r="C373" t="inlineStr">
        <is>
          <t>BSA</t>
        </is>
      </c>
      <c r="D373" t="inlineStr">
        <is>
          <t>BSA</t>
        </is>
      </c>
      <c r="E373" t="inlineStr">
        <is>
          <t>당월</t>
        </is>
      </c>
      <c r="F373" t="inlineStr">
        <is>
          <t>8월 2주차</t>
        </is>
      </c>
      <c r="G373" t="inlineStr">
        <is>
          <t>네이버</t>
        </is>
      </c>
      <c r="H373" s="13" t="n">
        <v>45150</v>
      </c>
      <c r="I373" t="inlineStr">
        <is>
          <t>PC</t>
        </is>
      </c>
      <c r="J373" t="inlineStr">
        <is>
          <t>00.브랜드검색PCMO</t>
        </is>
      </c>
      <c r="K373" t="inlineStr">
        <is>
          <t>01.PC브랜드검색</t>
        </is>
      </c>
      <c r="M373" t="n">
        <v>0</v>
      </c>
      <c r="N373" t="n">
        <v>0</v>
      </c>
      <c r="O373" t="n">
        <v>36666.66666666666</v>
      </c>
      <c r="P373" t="n">
        <v>0</v>
      </c>
      <c r="Q373" t="n">
        <v>0</v>
      </c>
      <c r="R373" t="n">
        <v>0</v>
      </c>
      <c r="S373" t="n">
        <v>0</v>
      </c>
      <c r="T373" t="inlineStr">
        <is>
          <t>BSA</t>
        </is>
      </c>
      <c r="U373" t="inlineStr">
        <is>
          <t>BSA</t>
        </is>
      </c>
    </row>
    <row r="374">
      <c r="C374" t="inlineStr">
        <is>
          <t>BSA</t>
        </is>
      </c>
      <c r="D374" t="inlineStr">
        <is>
          <t>BSA</t>
        </is>
      </c>
      <c r="E374" t="inlineStr">
        <is>
          <t>당월</t>
        </is>
      </c>
      <c r="F374" t="inlineStr">
        <is>
          <t>8월 2주차</t>
        </is>
      </c>
      <c r="G374" t="inlineStr">
        <is>
          <t>네이버</t>
        </is>
      </c>
      <c r="H374" s="13" t="n">
        <v>45150</v>
      </c>
      <c r="I374" t="inlineStr">
        <is>
          <t>MO</t>
        </is>
      </c>
      <c r="J374" t="inlineStr">
        <is>
          <t>00.브랜드검색PCMO</t>
        </is>
      </c>
      <c r="K374" t="inlineStr">
        <is>
          <t>01.MO브랜드검색</t>
        </is>
      </c>
      <c r="M374" t="n">
        <v>0</v>
      </c>
      <c r="N374" t="n">
        <v>0</v>
      </c>
      <c r="O374" t="n">
        <v>51333.33333333334</v>
      </c>
      <c r="P374" t="n">
        <v>0</v>
      </c>
      <c r="Q374" t="n">
        <v>0</v>
      </c>
      <c r="R374" t="n">
        <v>0</v>
      </c>
      <c r="S374" t="n">
        <v>0</v>
      </c>
      <c r="T374" t="inlineStr">
        <is>
          <t>BSA</t>
        </is>
      </c>
      <c r="U374" t="inlineStr">
        <is>
          <t>BSA</t>
        </is>
      </c>
    </row>
    <row r="375">
      <c r="C375" t="inlineStr">
        <is>
          <t>BSA</t>
        </is>
      </c>
      <c r="D375" t="inlineStr">
        <is>
          <t>BSA</t>
        </is>
      </c>
      <c r="E375" t="inlineStr">
        <is>
          <t>당월</t>
        </is>
      </c>
      <c r="F375" t="inlineStr">
        <is>
          <t>8월 2주차</t>
        </is>
      </c>
      <c r="G375" t="inlineStr">
        <is>
          <t>네이버</t>
        </is>
      </c>
      <c r="H375" s="13" t="n">
        <v>45151</v>
      </c>
      <c r="I375" t="inlineStr">
        <is>
          <t>PC</t>
        </is>
      </c>
      <c r="J375" t="inlineStr">
        <is>
          <t>00.브랜드검색PCMO</t>
        </is>
      </c>
      <c r="K375" t="inlineStr">
        <is>
          <t>01.PC브랜드검색</t>
        </is>
      </c>
      <c r="M375" t="n">
        <v>0</v>
      </c>
      <c r="N375" t="n">
        <v>0</v>
      </c>
      <c r="O375" t="n">
        <v>36666.66666666666</v>
      </c>
      <c r="P375" t="n">
        <v>0</v>
      </c>
      <c r="Q375" t="n">
        <v>0</v>
      </c>
      <c r="R375" t="n">
        <v>0</v>
      </c>
      <c r="S375" t="n">
        <v>0</v>
      </c>
      <c r="T375" t="inlineStr">
        <is>
          <t>BSA</t>
        </is>
      </c>
      <c r="U375" t="inlineStr">
        <is>
          <t>BSA</t>
        </is>
      </c>
    </row>
    <row r="376">
      <c r="C376" t="inlineStr">
        <is>
          <t>BSA</t>
        </is>
      </c>
      <c r="D376" t="inlineStr">
        <is>
          <t>BSA</t>
        </is>
      </c>
      <c r="E376" t="inlineStr">
        <is>
          <t>당월</t>
        </is>
      </c>
      <c r="F376" t="inlineStr">
        <is>
          <t>8월 2주차</t>
        </is>
      </c>
      <c r="G376" t="inlineStr">
        <is>
          <t>네이버</t>
        </is>
      </c>
      <c r="H376" s="13" t="n">
        <v>45151</v>
      </c>
      <c r="I376" t="inlineStr">
        <is>
          <t>MO</t>
        </is>
      </c>
      <c r="J376" t="inlineStr">
        <is>
          <t>00.브랜드검색PCMO</t>
        </is>
      </c>
      <c r="K376" t="inlineStr">
        <is>
          <t>01.MO브랜드검색</t>
        </is>
      </c>
      <c r="M376" t="n">
        <v>0</v>
      </c>
      <c r="N376" t="n">
        <v>0</v>
      </c>
      <c r="O376" t="n">
        <v>51333.33333333334</v>
      </c>
      <c r="P376" t="n">
        <v>0</v>
      </c>
      <c r="Q376" t="n">
        <v>0</v>
      </c>
      <c r="R376" t="n">
        <v>0</v>
      </c>
      <c r="S376" t="n">
        <v>0</v>
      </c>
      <c r="T376" t="inlineStr">
        <is>
          <t>BSA</t>
        </is>
      </c>
      <c r="U376" t="inlineStr">
        <is>
          <t>BSA</t>
        </is>
      </c>
    </row>
    <row r="381">
      <c r="C381" t="inlineStr">
        <is>
          <t>BSA</t>
        </is>
      </c>
      <c r="D381" t="inlineStr">
        <is>
          <t>BSA</t>
        </is>
      </c>
      <c r="E381" t="inlineStr">
        <is>
          <t>당월</t>
        </is>
      </c>
      <c r="F381" t="inlineStr">
        <is>
          <t>8월 2주차</t>
        </is>
      </c>
      <c r="G381" t="inlineStr">
        <is>
          <t>네이버</t>
        </is>
      </c>
      <c r="H381" s="13" t="n">
        <v>45152</v>
      </c>
      <c r="I381" t="inlineStr">
        <is>
          <t>PC</t>
        </is>
      </c>
      <c r="J381" t="inlineStr">
        <is>
          <t>00.브랜드검색PCMO</t>
        </is>
      </c>
      <c r="K381" t="inlineStr">
        <is>
          <t>01.PC브랜드검색</t>
        </is>
      </c>
      <c r="M381" t="n">
        <v>0</v>
      </c>
      <c r="N381" t="n">
        <v>0</v>
      </c>
      <c r="O381" t="n">
        <v>36666.66666666666</v>
      </c>
      <c r="P381" t="n">
        <v>0</v>
      </c>
      <c r="Q381" t="n">
        <v>0</v>
      </c>
      <c r="R381" t="n">
        <v>0</v>
      </c>
      <c r="S381" t="n">
        <v>0</v>
      </c>
      <c r="T381" t="inlineStr">
        <is>
          <t>BSA</t>
        </is>
      </c>
      <c r="U381" t="inlineStr">
        <is>
          <t>BSA</t>
        </is>
      </c>
    </row>
    <row r="382">
      <c r="C382" t="inlineStr">
        <is>
          <t>BSA</t>
        </is>
      </c>
      <c r="D382" t="inlineStr">
        <is>
          <t>BSA</t>
        </is>
      </c>
      <c r="E382" t="inlineStr">
        <is>
          <t>당월</t>
        </is>
      </c>
      <c r="F382" t="inlineStr">
        <is>
          <t>8월 2주차</t>
        </is>
      </c>
      <c r="G382" t="inlineStr">
        <is>
          <t>네이버</t>
        </is>
      </c>
      <c r="H382" s="13" t="n">
        <v>45152</v>
      </c>
      <c r="I382" t="inlineStr">
        <is>
          <t>MO</t>
        </is>
      </c>
      <c r="J382" t="inlineStr">
        <is>
          <t>00.브랜드검색PCMO</t>
        </is>
      </c>
      <c r="K382" t="inlineStr">
        <is>
          <t>01.MO브랜드검색</t>
        </is>
      </c>
      <c r="M382" t="n">
        <v>0</v>
      </c>
      <c r="N382" t="n">
        <v>0</v>
      </c>
      <c r="O382" t="n">
        <v>51333.33333333334</v>
      </c>
      <c r="P382" t="n">
        <v>0</v>
      </c>
      <c r="Q382" t="n">
        <v>0</v>
      </c>
      <c r="R382" t="n">
        <v>0</v>
      </c>
      <c r="S382" t="n">
        <v>0</v>
      </c>
      <c r="T382" t="inlineStr">
        <is>
          <t>BSA</t>
        </is>
      </c>
      <c r="U382" t="inlineStr">
        <is>
          <t>BSA</t>
        </is>
      </c>
    </row>
    <row r="383">
      <c r="C383" t="inlineStr">
        <is>
          <t>BSA</t>
        </is>
      </c>
      <c r="D383" t="inlineStr">
        <is>
          <t>BSA</t>
        </is>
      </c>
      <c r="E383" t="inlineStr">
        <is>
          <t>당월</t>
        </is>
      </c>
      <c r="F383" t="inlineStr">
        <is>
          <t>8월 2주차</t>
        </is>
      </c>
      <c r="G383" t="inlineStr">
        <is>
          <t>네이버</t>
        </is>
      </c>
      <c r="H383" s="13" t="n">
        <v>45153</v>
      </c>
      <c r="I383" t="inlineStr">
        <is>
          <t>PC</t>
        </is>
      </c>
      <c r="J383" t="inlineStr">
        <is>
          <t>00.브랜드검색PCMO</t>
        </is>
      </c>
      <c r="K383" t="inlineStr">
        <is>
          <t>01.PC브랜드검색</t>
        </is>
      </c>
      <c r="M383" t="n">
        <v>0</v>
      </c>
      <c r="N383" t="n">
        <v>0</v>
      </c>
      <c r="O383" t="n">
        <v>36666.66666666666</v>
      </c>
      <c r="P383" t="n">
        <v>0</v>
      </c>
      <c r="Q383" t="n">
        <v>0</v>
      </c>
      <c r="R383" t="n">
        <v>0</v>
      </c>
      <c r="S383" t="n">
        <v>0</v>
      </c>
      <c r="T383" t="inlineStr">
        <is>
          <t>BSA</t>
        </is>
      </c>
      <c r="U383" t="inlineStr">
        <is>
          <t>BSA</t>
        </is>
      </c>
    </row>
    <row r="384">
      <c r="C384" t="inlineStr">
        <is>
          <t>BSA</t>
        </is>
      </c>
      <c r="D384" t="inlineStr">
        <is>
          <t>BSA</t>
        </is>
      </c>
      <c r="E384" t="inlineStr">
        <is>
          <t>당월</t>
        </is>
      </c>
      <c r="F384" t="inlineStr">
        <is>
          <t>8월 2주차</t>
        </is>
      </c>
      <c r="G384" t="inlineStr">
        <is>
          <t>네이버</t>
        </is>
      </c>
      <c r="H384" s="13" t="n">
        <v>45153</v>
      </c>
      <c r="I384" t="inlineStr">
        <is>
          <t>MO</t>
        </is>
      </c>
      <c r="J384" t="inlineStr">
        <is>
          <t>00.브랜드검색PCMO</t>
        </is>
      </c>
      <c r="K384" t="inlineStr">
        <is>
          <t>01.MO브랜드검색</t>
        </is>
      </c>
      <c r="M384" t="n">
        <v>0</v>
      </c>
      <c r="N384" t="n">
        <v>0</v>
      </c>
      <c r="O384" t="n">
        <v>51333.33333333334</v>
      </c>
      <c r="P384" t="n">
        <v>0</v>
      </c>
      <c r="Q384" t="n">
        <v>0</v>
      </c>
      <c r="R384" t="n">
        <v>0</v>
      </c>
      <c r="S384" t="n">
        <v>0</v>
      </c>
      <c r="T384" t="inlineStr">
        <is>
          <t>BSA</t>
        </is>
      </c>
      <c r="U384" t="inlineStr">
        <is>
          <t>BSA</t>
        </is>
      </c>
    </row>
    <row r="385">
      <c r="C385" t="inlineStr">
        <is>
          <t>BSA</t>
        </is>
      </c>
      <c r="D385" t="inlineStr">
        <is>
          <t>BSA</t>
        </is>
      </c>
      <c r="E385" t="inlineStr">
        <is>
          <t>당월</t>
        </is>
      </c>
      <c r="F385" t="inlineStr">
        <is>
          <t>8월 2주차</t>
        </is>
      </c>
      <c r="G385" t="inlineStr">
        <is>
          <t>네이버</t>
        </is>
      </c>
      <c r="H385" s="13" t="n">
        <v>45154</v>
      </c>
      <c r="I385" t="inlineStr">
        <is>
          <t>PC</t>
        </is>
      </c>
      <c r="J385" t="inlineStr">
        <is>
          <t>00.브랜드검색PCMO</t>
        </is>
      </c>
      <c r="K385" t="inlineStr">
        <is>
          <t>01.PC브랜드검색</t>
        </is>
      </c>
      <c r="M385" t="n">
        <v>0</v>
      </c>
      <c r="N385" t="n">
        <v>0</v>
      </c>
      <c r="O385" t="n">
        <v>36666.66666666666</v>
      </c>
      <c r="P385" t="n">
        <v>0</v>
      </c>
      <c r="Q385" t="n">
        <v>0</v>
      </c>
      <c r="R385" t="n">
        <v>0</v>
      </c>
      <c r="S385" t="n">
        <v>0</v>
      </c>
      <c r="T385" t="inlineStr">
        <is>
          <t>BSA</t>
        </is>
      </c>
      <c r="U385" t="inlineStr">
        <is>
          <t>BSA</t>
        </is>
      </c>
    </row>
    <row r="386">
      <c r="C386" t="inlineStr">
        <is>
          <t>BSA</t>
        </is>
      </c>
      <c r="D386" t="inlineStr">
        <is>
          <t>BSA</t>
        </is>
      </c>
      <c r="E386" t="inlineStr">
        <is>
          <t>당월</t>
        </is>
      </c>
      <c r="F386" t="inlineStr">
        <is>
          <t>8월 2주차</t>
        </is>
      </c>
      <c r="G386" t="inlineStr">
        <is>
          <t>네이버</t>
        </is>
      </c>
      <c r="H386" s="13" t="n">
        <v>45154</v>
      </c>
      <c r="I386" t="inlineStr">
        <is>
          <t>MO</t>
        </is>
      </c>
      <c r="J386" t="inlineStr">
        <is>
          <t>00.브랜드검색PCMO</t>
        </is>
      </c>
      <c r="K386" t="inlineStr">
        <is>
          <t>01.MO브랜드검색</t>
        </is>
      </c>
      <c r="M386" t="n">
        <v>0</v>
      </c>
      <c r="N386" t="n">
        <v>0</v>
      </c>
      <c r="O386" t="n">
        <v>51333.33333333334</v>
      </c>
      <c r="P386" t="n">
        <v>0</v>
      </c>
      <c r="Q386" t="n">
        <v>0</v>
      </c>
      <c r="R386" t="n">
        <v>0</v>
      </c>
      <c r="S386" t="n">
        <v>0</v>
      </c>
      <c r="T386" t="inlineStr">
        <is>
          <t>BSA</t>
        </is>
      </c>
      <c r="U386" t="inlineStr">
        <is>
          <t>BSA</t>
        </is>
      </c>
    </row>
    <row r="387">
      <c r="C387" t="inlineStr">
        <is>
          <t>BSA</t>
        </is>
      </c>
      <c r="D387" t="inlineStr">
        <is>
          <t>BSA</t>
        </is>
      </c>
      <c r="E387" t="inlineStr">
        <is>
          <t>당월</t>
        </is>
      </c>
      <c r="F387" t="inlineStr">
        <is>
          <t>8월 2주차</t>
        </is>
      </c>
      <c r="G387" t="inlineStr">
        <is>
          <t>네이버</t>
        </is>
      </c>
      <c r="H387" s="13" t="n">
        <v>45155</v>
      </c>
      <c r="I387" t="inlineStr">
        <is>
          <t>PC</t>
        </is>
      </c>
      <c r="J387" t="inlineStr">
        <is>
          <t>00.브랜드검색PCMO</t>
        </is>
      </c>
      <c r="K387" t="inlineStr">
        <is>
          <t>01.PC브랜드검색</t>
        </is>
      </c>
      <c r="M387" t="n">
        <v>0</v>
      </c>
      <c r="N387" t="n">
        <v>0</v>
      </c>
      <c r="O387" t="n">
        <v>36666.66666666666</v>
      </c>
      <c r="P387" t="n">
        <v>0</v>
      </c>
      <c r="Q387" t="n">
        <v>0</v>
      </c>
      <c r="R387" t="n">
        <v>0</v>
      </c>
      <c r="S387" t="n">
        <v>0</v>
      </c>
      <c r="T387" t="inlineStr">
        <is>
          <t>BSA</t>
        </is>
      </c>
      <c r="U387" t="inlineStr">
        <is>
          <t>BSA</t>
        </is>
      </c>
    </row>
    <row r="388">
      <c r="C388" t="inlineStr">
        <is>
          <t>BSA</t>
        </is>
      </c>
      <c r="D388" t="inlineStr">
        <is>
          <t>BSA</t>
        </is>
      </c>
      <c r="E388" t="inlineStr">
        <is>
          <t>당월</t>
        </is>
      </c>
      <c r="F388" t="inlineStr">
        <is>
          <t>8월 2주차</t>
        </is>
      </c>
      <c r="G388" t="inlineStr">
        <is>
          <t>네이버</t>
        </is>
      </c>
      <c r="H388" s="13" t="n">
        <v>45155</v>
      </c>
      <c r="I388" t="inlineStr">
        <is>
          <t>MO</t>
        </is>
      </c>
      <c r="J388" t="inlineStr">
        <is>
          <t>00.브랜드검색PCMO</t>
        </is>
      </c>
      <c r="K388" t="inlineStr">
        <is>
          <t>01.MO브랜드검색</t>
        </is>
      </c>
      <c r="M388" t="n">
        <v>0</v>
      </c>
      <c r="N388" t="n">
        <v>0</v>
      </c>
      <c r="O388" t="n">
        <v>51333.33333333334</v>
      </c>
      <c r="P388" t="n">
        <v>0</v>
      </c>
      <c r="Q388" t="n">
        <v>0</v>
      </c>
      <c r="R388" t="n">
        <v>0</v>
      </c>
      <c r="S388" t="n">
        <v>0</v>
      </c>
      <c r="T388" t="inlineStr">
        <is>
          <t>BSA</t>
        </is>
      </c>
      <c r="U388" t="inlineStr">
        <is>
          <t>BSA</t>
        </is>
      </c>
    </row>
    <row r="389">
      <c r="C389" t="inlineStr">
        <is>
          <t>BSA</t>
        </is>
      </c>
      <c r="D389" t="inlineStr">
        <is>
          <t>BSA</t>
        </is>
      </c>
      <c r="E389" t="inlineStr">
        <is>
          <t>당월</t>
        </is>
      </c>
      <c r="F389" t="inlineStr">
        <is>
          <t>8월 2주차</t>
        </is>
      </c>
      <c r="G389" t="inlineStr">
        <is>
          <t>네이버</t>
        </is>
      </c>
      <c r="H389" s="13" t="n">
        <v>45156</v>
      </c>
      <c r="I389" t="inlineStr">
        <is>
          <t>PC</t>
        </is>
      </c>
      <c r="J389" t="inlineStr">
        <is>
          <t>00.브랜드검색PCMO</t>
        </is>
      </c>
      <c r="K389" t="inlineStr">
        <is>
          <t>01.PC브랜드검색</t>
        </is>
      </c>
      <c r="M389" t="n">
        <v>0</v>
      </c>
      <c r="N389" t="n">
        <v>0</v>
      </c>
      <c r="O389" t="n">
        <v>36666.66666666666</v>
      </c>
      <c r="P389" t="n">
        <v>0</v>
      </c>
      <c r="Q389" t="n">
        <v>0</v>
      </c>
      <c r="R389" t="n">
        <v>0</v>
      </c>
      <c r="S389" t="n">
        <v>0</v>
      </c>
      <c r="T389" t="inlineStr">
        <is>
          <t>BSA</t>
        </is>
      </c>
      <c r="U389" t="inlineStr">
        <is>
          <t>BSA</t>
        </is>
      </c>
    </row>
    <row r="390">
      <c r="C390" t="inlineStr">
        <is>
          <t>BSA</t>
        </is>
      </c>
      <c r="D390" t="inlineStr">
        <is>
          <t>BSA</t>
        </is>
      </c>
      <c r="E390" t="inlineStr">
        <is>
          <t>당월</t>
        </is>
      </c>
      <c r="F390" t="inlineStr">
        <is>
          <t>8월 2주차</t>
        </is>
      </c>
      <c r="G390" t="inlineStr">
        <is>
          <t>네이버</t>
        </is>
      </c>
      <c r="H390" s="13" t="n">
        <v>45156</v>
      </c>
      <c r="I390" t="inlineStr">
        <is>
          <t>MO</t>
        </is>
      </c>
      <c r="J390" t="inlineStr">
        <is>
          <t>00.브랜드검색PCMO</t>
        </is>
      </c>
      <c r="K390" t="inlineStr">
        <is>
          <t>01.MO브랜드검색</t>
        </is>
      </c>
      <c r="M390" t="n">
        <v>0</v>
      </c>
      <c r="N390" t="n">
        <v>0</v>
      </c>
      <c r="O390" t="n">
        <v>51333.33333333334</v>
      </c>
      <c r="P390" t="n">
        <v>0</v>
      </c>
      <c r="Q390" t="n">
        <v>0</v>
      </c>
      <c r="R390" t="n">
        <v>0</v>
      </c>
      <c r="S390" t="n">
        <v>0</v>
      </c>
      <c r="T390" t="inlineStr">
        <is>
          <t>BSA</t>
        </is>
      </c>
      <c r="U390" t="inlineStr">
        <is>
          <t>BSA</t>
        </is>
      </c>
    </row>
    <row r="391">
      <c r="C391" t="inlineStr">
        <is>
          <t>BSA</t>
        </is>
      </c>
      <c r="D391" t="inlineStr">
        <is>
          <t>BSA</t>
        </is>
      </c>
      <c r="E391" t="inlineStr">
        <is>
          <t>당월</t>
        </is>
      </c>
      <c r="F391" t="inlineStr">
        <is>
          <t>8월 2주차</t>
        </is>
      </c>
      <c r="G391" t="inlineStr">
        <is>
          <t>네이버</t>
        </is>
      </c>
      <c r="H391" s="13" t="n">
        <v>45157</v>
      </c>
      <c r="I391" t="inlineStr">
        <is>
          <t>PC</t>
        </is>
      </c>
      <c r="J391" t="inlineStr">
        <is>
          <t>00.브랜드검색PCMO</t>
        </is>
      </c>
      <c r="K391" t="inlineStr">
        <is>
          <t>01.PC브랜드검색</t>
        </is>
      </c>
      <c r="M391" t="n">
        <v>0</v>
      </c>
      <c r="N391" t="n">
        <v>0</v>
      </c>
      <c r="O391" t="n">
        <v>36666.66666666666</v>
      </c>
      <c r="P391" t="n">
        <v>0</v>
      </c>
      <c r="Q391" t="n">
        <v>0</v>
      </c>
      <c r="R391" t="n">
        <v>0</v>
      </c>
      <c r="S391" t="n">
        <v>0</v>
      </c>
      <c r="T391" t="inlineStr">
        <is>
          <t>BSA</t>
        </is>
      </c>
      <c r="U391" t="inlineStr">
        <is>
          <t>BSA</t>
        </is>
      </c>
    </row>
    <row r="392">
      <c r="C392" t="inlineStr">
        <is>
          <t>BSA</t>
        </is>
      </c>
      <c r="D392" t="inlineStr">
        <is>
          <t>BSA</t>
        </is>
      </c>
      <c r="E392" t="inlineStr">
        <is>
          <t>당월</t>
        </is>
      </c>
      <c r="F392" t="inlineStr">
        <is>
          <t>8월 2주차</t>
        </is>
      </c>
      <c r="G392" t="inlineStr">
        <is>
          <t>네이버</t>
        </is>
      </c>
      <c r="H392" s="13" t="n">
        <v>45157</v>
      </c>
      <c r="I392" t="inlineStr">
        <is>
          <t>MO</t>
        </is>
      </c>
      <c r="J392" t="inlineStr">
        <is>
          <t>00.브랜드검색PCMO</t>
        </is>
      </c>
      <c r="K392" t="inlineStr">
        <is>
          <t>01.MO브랜드검색</t>
        </is>
      </c>
      <c r="M392" t="n">
        <v>0</v>
      </c>
      <c r="N392" t="n">
        <v>0</v>
      </c>
      <c r="O392" t="n">
        <v>51333.33333333334</v>
      </c>
      <c r="P392" t="n">
        <v>0</v>
      </c>
      <c r="Q392" t="n">
        <v>0</v>
      </c>
      <c r="R392" t="n">
        <v>0</v>
      </c>
      <c r="S392" t="n">
        <v>0</v>
      </c>
      <c r="T392" t="inlineStr">
        <is>
          <t>BSA</t>
        </is>
      </c>
      <c r="U392" t="inlineStr">
        <is>
          <t>BSA</t>
        </is>
      </c>
    </row>
    <row r="393">
      <c r="C393" t="inlineStr">
        <is>
          <t>BSA</t>
        </is>
      </c>
      <c r="D393" t="inlineStr">
        <is>
          <t>BSA</t>
        </is>
      </c>
      <c r="E393" t="inlineStr">
        <is>
          <t>당월</t>
        </is>
      </c>
      <c r="F393" t="inlineStr">
        <is>
          <t>8월 2주차</t>
        </is>
      </c>
      <c r="G393" t="inlineStr">
        <is>
          <t>네이버</t>
        </is>
      </c>
      <c r="H393" s="13" t="n">
        <v>45158</v>
      </c>
      <c r="I393" t="inlineStr">
        <is>
          <t>PC</t>
        </is>
      </c>
      <c r="J393" t="inlineStr">
        <is>
          <t>00.브랜드검색PCMO</t>
        </is>
      </c>
      <c r="K393" t="inlineStr">
        <is>
          <t>01.PC브랜드검색</t>
        </is>
      </c>
      <c r="M393" t="n">
        <v>0</v>
      </c>
      <c r="N393" t="n">
        <v>0</v>
      </c>
      <c r="O393" t="n">
        <v>36666.66666666666</v>
      </c>
      <c r="P393" t="n">
        <v>0</v>
      </c>
      <c r="Q393" t="n">
        <v>0</v>
      </c>
      <c r="R393" t="n">
        <v>0</v>
      </c>
      <c r="S393" t="n">
        <v>0</v>
      </c>
      <c r="T393" t="inlineStr">
        <is>
          <t>BSA</t>
        </is>
      </c>
      <c r="U393" t="inlineStr">
        <is>
          <t>BSA</t>
        </is>
      </c>
    </row>
    <row r="394">
      <c r="C394" t="inlineStr">
        <is>
          <t>BSA</t>
        </is>
      </c>
      <c r="D394" t="inlineStr">
        <is>
          <t>BSA</t>
        </is>
      </c>
      <c r="E394" t="inlineStr">
        <is>
          <t>당월</t>
        </is>
      </c>
      <c r="F394" t="inlineStr">
        <is>
          <t>8월 2주차</t>
        </is>
      </c>
      <c r="G394" t="inlineStr">
        <is>
          <t>네이버</t>
        </is>
      </c>
      <c r="H394" s="13" t="n">
        <v>45158</v>
      </c>
      <c r="I394" t="inlineStr">
        <is>
          <t>MO</t>
        </is>
      </c>
      <c r="J394" t="inlineStr">
        <is>
          <t>00.브랜드검색PCMO</t>
        </is>
      </c>
      <c r="K394" t="inlineStr">
        <is>
          <t>01.MO브랜드검색</t>
        </is>
      </c>
      <c r="M394" t="n">
        <v>0</v>
      </c>
      <c r="N394" t="n">
        <v>0</v>
      </c>
      <c r="O394" t="n">
        <v>51333.33333333334</v>
      </c>
      <c r="P394" t="n">
        <v>0</v>
      </c>
      <c r="Q394" t="n">
        <v>0</v>
      </c>
      <c r="R394" t="n">
        <v>0</v>
      </c>
      <c r="S394" t="n">
        <v>0</v>
      </c>
      <c r="T394" t="inlineStr">
        <is>
          <t>BSA</t>
        </is>
      </c>
      <c r="U394" t="inlineStr">
        <is>
          <t>BSA</t>
        </is>
      </c>
    </row>
    <row r="398">
      <c r="H398" s="13" t="n">
        <v>45157</v>
      </c>
    </row>
    <row r="399">
      <c r="H399" s="13" t="n">
        <v>45158</v>
      </c>
    </row>
    <row r="400">
      <c r="H400" s="13" t="n">
        <v>45159</v>
      </c>
    </row>
    <row r="401">
      <c r="H401" s="13" t="n">
        <v>45160</v>
      </c>
    </row>
    <row r="402">
      <c r="H402" s="13" t="n">
        <v>45161</v>
      </c>
    </row>
    <row r="403">
      <c r="H403" s="13" t="n">
        <v>45162</v>
      </c>
    </row>
    <row r="404">
      <c r="H404" s="13" t="n">
        <v>45163</v>
      </c>
    </row>
    <row r="405">
      <c r="H405" s="13" t="n">
        <v>45164</v>
      </c>
    </row>
    <row r="406">
      <c r="H406" s="13" t="n">
        <v>45165</v>
      </c>
    </row>
    <row r="407">
      <c r="H407" s="13" t="n">
        <v>45166</v>
      </c>
    </row>
    <row r="408">
      <c r="H408" s="13" t="n">
        <v>45167</v>
      </c>
    </row>
    <row r="409">
      <c r="H409" s="13" t="n">
        <v>45168</v>
      </c>
    </row>
    <row r="410">
      <c r="H410" s="13" t="n">
        <v>45169</v>
      </c>
    </row>
    <row r="411">
      <c r="H411" s="13" t="n">
        <v>45170</v>
      </c>
    </row>
    <row r="412">
      <c r="H412" s="13" t="n">
        <v>45171</v>
      </c>
    </row>
    <row r="413">
      <c r="H413" s="13" t="n">
        <v>45172</v>
      </c>
    </row>
    <row r="414">
      <c r="H414" s="13" t="n">
        <v>45173</v>
      </c>
    </row>
    <row r="415">
      <c r="H415" s="13" t="n">
        <v>45174</v>
      </c>
    </row>
    <row r="417">
      <c r="H417" s="3" t="n"/>
    </row>
    <row r="418">
      <c r="C418" t="inlineStr">
        <is>
          <t>BSA</t>
        </is>
      </c>
      <c r="D418" t="inlineStr">
        <is>
          <t>BSA</t>
        </is>
      </c>
      <c r="E418" t="inlineStr">
        <is>
          <t>당월</t>
        </is>
      </c>
      <c r="F418" t="inlineStr">
        <is>
          <t>8월 4주차</t>
        </is>
      </c>
      <c r="G418" t="inlineStr">
        <is>
          <t>네이버</t>
        </is>
      </c>
      <c r="H418" s="16" t="n">
        <v>45159</v>
      </c>
      <c r="I418" t="inlineStr">
        <is>
          <t>PC</t>
        </is>
      </c>
      <c r="J418" t="inlineStr">
        <is>
          <t>00.브랜드검색PCMO</t>
        </is>
      </c>
      <c r="K418" t="inlineStr">
        <is>
          <t>01.PC브랜드검색</t>
        </is>
      </c>
      <c r="M418" t="n">
        <v>0</v>
      </c>
      <c r="N418" t="n">
        <v>0</v>
      </c>
      <c r="O418" t="n">
        <v>36666.66666666666</v>
      </c>
      <c r="P418" t="n">
        <v>0</v>
      </c>
      <c r="Q418" t="n">
        <v>0</v>
      </c>
      <c r="R418" t="n">
        <v>0</v>
      </c>
      <c r="S418" t="n">
        <v>0</v>
      </c>
      <c r="T418" t="inlineStr">
        <is>
          <t>BSA</t>
        </is>
      </c>
      <c r="U418" t="inlineStr">
        <is>
          <t>BSA</t>
        </is>
      </c>
    </row>
    <row r="419">
      <c r="C419" t="inlineStr">
        <is>
          <t>BSA</t>
        </is>
      </c>
      <c r="D419" t="inlineStr">
        <is>
          <t>BSA</t>
        </is>
      </c>
      <c r="E419" t="inlineStr">
        <is>
          <t>당월</t>
        </is>
      </c>
      <c r="F419" t="inlineStr">
        <is>
          <t>8월 4주차</t>
        </is>
      </c>
      <c r="G419" t="inlineStr">
        <is>
          <t>네이버</t>
        </is>
      </c>
      <c r="H419" s="16" t="n">
        <v>45159</v>
      </c>
      <c r="I419" t="inlineStr">
        <is>
          <t>MO</t>
        </is>
      </c>
      <c r="J419" t="inlineStr">
        <is>
          <t>00.브랜드검색PCMO</t>
        </is>
      </c>
      <c r="K419" t="inlineStr">
        <is>
          <t>01.MO브랜드검색</t>
        </is>
      </c>
      <c r="M419" t="n">
        <v>0</v>
      </c>
      <c r="N419" t="n">
        <v>0</v>
      </c>
      <c r="O419" t="n">
        <v>51333.33333333334</v>
      </c>
      <c r="P419" t="n">
        <v>0</v>
      </c>
      <c r="Q419" t="n">
        <v>0</v>
      </c>
      <c r="R419" t="n">
        <v>0</v>
      </c>
      <c r="S419" t="n">
        <v>0</v>
      </c>
      <c r="T419" t="inlineStr">
        <is>
          <t>BSA</t>
        </is>
      </c>
      <c r="U419" t="inlineStr">
        <is>
          <t>BSA</t>
        </is>
      </c>
    </row>
    <row r="420">
      <c r="C420" t="inlineStr">
        <is>
          <t>BSA</t>
        </is>
      </c>
      <c r="D420" t="inlineStr">
        <is>
          <t>BSA</t>
        </is>
      </c>
      <c r="E420" t="inlineStr">
        <is>
          <t>당월</t>
        </is>
      </c>
      <c r="F420" t="inlineStr">
        <is>
          <t>8월 4주차</t>
        </is>
      </c>
      <c r="G420" t="inlineStr">
        <is>
          <t>네이버</t>
        </is>
      </c>
      <c r="H420" s="16" t="n">
        <v>45160</v>
      </c>
      <c r="I420" t="inlineStr">
        <is>
          <t>PC</t>
        </is>
      </c>
      <c r="J420" t="inlineStr">
        <is>
          <t>00.브랜드검색PCMO</t>
        </is>
      </c>
      <c r="K420" t="inlineStr">
        <is>
          <t>01.PC브랜드검색</t>
        </is>
      </c>
      <c r="M420" t="n">
        <v>0</v>
      </c>
      <c r="N420" t="n">
        <v>0</v>
      </c>
      <c r="O420" t="n">
        <v>36666.66666666666</v>
      </c>
      <c r="P420" t="n">
        <v>0</v>
      </c>
      <c r="Q420" t="n">
        <v>0</v>
      </c>
      <c r="R420" t="n">
        <v>0</v>
      </c>
      <c r="S420" t="n">
        <v>0</v>
      </c>
      <c r="T420" t="inlineStr">
        <is>
          <t>BSA</t>
        </is>
      </c>
      <c r="U420" t="inlineStr">
        <is>
          <t>BSA</t>
        </is>
      </c>
    </row>
    <row r="421">
      <c r="C421" t="inlineStr">
        <is>
          <t>BSA</t>
        </is>
      </c>
      <c r="D421" t="inlineStr">
        <is>
          <t>BSA</t>
        </is>
      </c>
      <c r="E421" t="inlineStr">
        <is>
          <t>당월</t>
        </is>
      </c>
      <c r="F421" t="inlineStr">
        <is>
          <t>8월 4주차</t>
        </is>
      </c>
      <c r="G421" t="inlineStr">
        <is>
          <t>네이버</t>
        </is>
      </c>
      <c r="H421" s="16" t="n">
        <v>45160</v>
      </c>
      <c r="I421" t="inlineStr">
        <is>
          <t>MO</t>
        </is>
      </c>
      <c r="J421" t="inlineStr">
        <is>
          <t>00.브랜드검색PCMO</t>
        </is>
      </c>
      <c r="K421" t="inlineStr">
        <is>
          <t>01.MO브랜드검색</t>
        </is>
      </c>
      <c r="M421" t="n">
        <v>0</v>
      </c>
      <c r="N421" t="n">
        <v>0</v>
      </c>
      <c r="O421" t="n">
        <v>51333.33333333334</v>
      </c>
      <c r="P421" t="n">
        <v>0</v>
      </c>
      <c r="Q421" t="n">
        <v>0</v>
      </c>
      <c r="R421" t="n">
        <v>0</v>
      </c>
      <c r="S421" t="n">
        <v>0</v>
      </c>
      <c r="T421" t="inlineStr">
        <is>
          <t>BSA</t>
        </is>
      </c>
      <c r="U421" t="inlineStr">
        <is>
          <t>BSA</t>
        </is>
      </c>
    </row>
    <row r="422">
      <c r="C422" t="inlineStr">
        <is>
          <t>BSA</t>
        </is>
      </c>
      <c r="D422" t="inlineStr">
        <is>
          <t>BSA</t>
        </is>
      </c>
      <c r="E422" t="inlineStr">
        <is>
          <t>당월</t>
        </is>
      </c>
      <c r="F422" t="inlineStr">
        <is>
          <t>8월 4주차</t>
        </is>
      </c>
      <c r="G422" t="inlineStr">
        <is>
          <t>네이버</t>
        </is>
      </c>
      <c r="H422" s="16" t="n">
        <v>45161</v>
      </c>
      <c r="I422" t="inlineStr">
        <is>
          <t>PC</t>
        </is>
      </c>
      <c r="J422" t="inlineStr">
        <is>
          <t>00.브랜드검색PCMO</t>
        </is>
      </c>
      <c r="K422" t="inlineStr">
        <is>
          <t>01.PC브랜드검색</t>
        </is>
      </c>
      <c r="M422" t="n">
        <v>0</v>
      </c>
      <c r="N422" t="n">
        <v>0</v>
      </c>
      <c r="O422" t="n">
        <v>36666.66666666666</v>
      </c>
      <c r="P422" t="n">
        <v>0</v>
      </c>
      <c r="Q422" t="n">
        <v>0</v>
      </c>
      <c r="R422" t="n">
        <v>0</v>
      </c>
      <c r="S422" t="n">
        <v>0</v>
      </c>
      <c r="T422" t="inlineStr">
        <is>
          <t>BSA</t>
        </is>
      </c>
      <c r="U422" t="inlineStr">
        <is>
          <t>BSA</t>
        </is>
      </c>
    </row>
    <row r="423">
      <c r="C423" t="inlineStr">
        <is>
          <t>BSA</t>
        </is>
      </c>
      <c r="D423" t="inlineStr">
        <is>
          <t>BSA</t>
        </is>
      </c>
      <c r="E423" t="inlineStr">
        <is>
          <t>당월</t>
        </is>
      </c>
      <c r="F423" t="inlineStr">
        <is>
          <t>8월 4주차</t>
        </is>
      </c>
      <c r="G423" t="inlineStr">
        <is>
          <t>네이버</t>
        </is>
      </c>
      <c r="H423" s="16" t="n">
        <v>45161</v>
      </c>
      <c r="I423" t="inlineStr">
        <is>
          <t>MO</t>
        </is>
      </c>
      <c r="J423" t="inlineStr">
        <is>
          <t>00.브랜드검색PCMO</t>
        </is>
      </c>
      <c r="K423" t="inlineStr">
        <is>
          <t>01.MO브랜드검색</t>
        </is>
      </c>
      <c r="M423" t="n">
        <v>0</v>
      </c>
      <c r="N423" t="n">
        <v>0</v>
      </c>
      <c r="O423" t="n">
        <v>51333.33333333334</v>
      </c>
      <c r="P423" t="n">
        <v>0</v>
      </c>
      <c r="Q423" t="n">
        <v>0</v>
      </c>
      <c r="R423" t="n">
        <v>0</v>
      </c>
      <c r="S423" t="n">
        <v>0</v>
      </c>
      <c r="T423" t="inlineStr">
        <is>
          <t>BSA</t>
        </is>
      </c>
      <c r="U423" t="inlineStr">
        <is>
          <t>BSA</t>
        </is>
      </c>
    </row>
    <row r="424">
      <c r="C424" t="inlineStr">
        <is>
          <t>BSA</t>
        </is>
      </c>
      <c r="D424" t="inlineStr">
        <is>
          <t>BSA</t>
        </is>
      </c>
      <c r="E424" t="inlineStr">
        <is>
          <t>당월</t>
        </is>
      </c>
      <c r="F424" t="inlineStr">
        <is>
          <t>8월 4주차</t>
        </is>
      </c>
      <c r="G424" t="inlineStr">
        <is>
          <t>네이버</t>
        </is>
      </c>
      <c r="H424" s="16" t="n">
        <v>45162</v>
      </c>
      <c r="I424" t="inlineStr">
        <is>
          <t>PC</t>
        </is>
      </c>
      <c r="J424" t="inlineStr">
        <is>
          <t>00.브랜드검색PCMO</t>
        </is>
      </c>
      <c r="K424" t="inlineStr">
        <is>
          <t>01.PC브랜드검색</t>
        </is>
      </c>
      <c r="M424" t="n">
        <v>0</v>
      </c>
      <c r="N424" t="n">
        <v>0</v>
      </c>
      <c r="O424" t="n">
        <v>36666.66666666666</v>
      </c>
      <c r="P424" t="n">
        <v>0</v>
      </c>
      <c r="Q424" t="n">
        <v>0</v>
      </c>
      <c r="R424" t="n">
        <v>0</v>
      </c>
      <c r="S424" t="n">
        <v>0</v>
      </c>
      <c r="T424" t="inlineStr">
        <is>
          <t>BSA</t>
        </is>
      </c>
      <c r="U424" t="inlineStr">
        <is>
          <t>BSA</t>
        </is>
      </c>
    </row>
    <row r="425">
      <c r="C425" t="inlineStr">
        <is>
          <t>BSA</t>
        </is>
      </c>
      <c r="D425" t="inlineStr">
        <is>
          <t>BSA</t>
        </is>
      </c>
      <c r="E425" t="inlineStr">
        <is>
          <t>당월</t>
        </is>
      </c>
      <c r="F425" t="inlineStr">
        <is>
          <t>8월 4주차</t>
        </is>
      </c>
      <c r="G425" t="inlineStr">
        <is>
          <t>네이버</t>
        </is>
      </c>
      <c r="H425" s="16" t="n">
        <v>45162</v>
      </c>
      <c r="I425" t="inlineStr">
        <is>
          <t>MO</t>
        </is>
      </c>
      <c r="J425" t="inlineStr">
        <is>
          <t>00.브랜드검색PCMO</t>
        </is>
      </c>
      <c r="K425" t="inlineStr">
        <is>
          <t>01.MO브랜드검색</t>
        </is>
      </c>
      <c r="M425" t="n">
        <v>0</v>
      </c>
      <c r="N425" t="n">
        <v>0</v>
      </c>
      <c r="O425" t="n">
        <v>51333.33333333334</v>
      </c>
      <c r="P425" t="n">
        <v>0</v>
      </c>
      <c r="Q425" t="n">
        <v>0</v>
      </c>
      <c r="R425" t="n">
        <v>0</v>
      </c>
      <c r="S425" t="n">
        <v>0</v>
      </c>
      <c r="T425" t="inlineStr">
        <is>
          <t>BSA</t>
        </is>
      </c>
      <c r="U425" t="inlineStr">
        <is>
          <t>BSA</t>
        </is>
      </c>
    </row>
    <row r="426">
      <c r="C426" t="inlineStr">
        <is>
          <t>BSA</t>
        </is>
      </c>
      <c r="D426" t="inlineStr">
        <is>
          <t>BSA</t>
        </is>
      </c>
      <c r="E426" t="inlineStr">
        <is>
          <t>당월</t>
        </is>
      </c>
      <c r="F426" t="inlineStr">
        <is>
          <t>8월 4주차</t>
        </is>
      </c>
      <c r="G426" t="inlineStr">
        <is>
          <t>네이버</t>
        </is>
      </c>
      <c r="H426" s="16" t="n">
        <v>45163</v>
      </c>
      <c r="I426" t="inlineStr">
        <is>
          <t>PC</t>
        </is>
      </c>
      <c r="J426" t="inlineStr">
        <is>
          <t>00.브랜드검색PCMO</t>
        </is>
      </c>
      <c r="K426" t="inlineStr">
        <is>
          <t>01.PC브랜드검색</t>
        </is>
      </c>
      <c r="M426" t="n">
        <v>0</v>
      </c>
      <c r="N426" t="n">
        <v>0</v>
      </c>
      <c r="O426" t="n">
        <v>36666.66666666666</v>
      </c>
      <c r="P426" t="n">
        <v>0</v>
      </c>
      <c r="Q426" t="n">
        <v>0</v>
      </c>
      <c r="R426" t="n">
        <v>0</v>
      </c>
      <c r="S426" t="n">
        <v>0</v>
      </c>
      <c r="T426" t="inlineStr">
        <is>
          <t>BSA</t>
        </is>
      </c>
      <c r="U426" t="inlineStr">
        <is>
          <t>BSA</t>
        </is>
      </c>
    </row>
    <row r="427">
      <c r="C427" t="inlineStr">
        <is>
          <t>BSA</t>
        </is>
      </c>
      <c r="D427" t="inlineStr">
        <is>
          <t>BSA</t>
        </is>
      </c>
      <c r="E427" t="inlineStr">
        <is>
          <t>당월</t>
        </is>
      </c>
      <c r="F427" t="inlineStr">
        <is>
          <t>8월 4주차</t>
        </is>
      </c>
      <c r="G427" t="inlineStr">
        <is>
          <t>네이버</t>
        </is>
      </c>
      <c r="H427" s="16" t="n">
        <v>45163</v>
      </c>
      <c r="I427" t="inlineStr">
        <is>
          <t>MO</t>
        </is>
      </c>
      <c r="J427" t="inlineStr">
        <is>
          <t>00.브랜드검색PCMO</t>
        </is>
      </c>
      <c r="K427" t="inlineStr">
        <is>
          <t>01.MO브랜드검색</t>
        </is>
      </c>
      <c r="M427" t="n">
        <v>0</v>
      </c>
      <c r="N427" t="n">
        <v>0</v>
      </c>
      <c r="O427" t="n">
        <v>51333.33333333334</v>
      </c>
      <c r="P427" t="n">
        <v>0</v>
      </c>
      <c r="Q427" t="n">
        <v>0</v>
      </c>
      <c r="R427" t="n">
        <v>0</v>
      </c>
      <c r="S427" t="n">
        <v>0</v>
      </c>
      <c r="T427" t="inlineStr">
        <is>
          <t>BSA</t>
        </is>
      </c>
      <c r="U427" t="inlineStr">
        <is>
          <t>BSA</t>
        </is>
      </c>
    </row>
    <row r="428">
      <c r="C428" t="inlineStr">
        <is>
          <t>BSA</t>
        </is>
      </c>
      <c r="D428" t="inlineStr">
        <is>
          <t>BSA</t>
        </is>
      </c>
      <c r="E428" t="inlineStr">
        <is>
          <t>당월</t>
        </is>
      </c>
      <c r="F428" t="inlineStr">
        <is>
          <t>8월 4주차</t>
        </is>
      </c>
      <c r="G428" t="inlineStr">
        <is>
          <t>네이버</t>
        </is>
      </c>
      <c r="H428" s="16" t="n">
        <v>45164</v>
      </c>
      <c r="I428" t="inlineStr">
        <is>
          <t>PC</t>
        </is>
      </c>
      <c r="J428" t="inlineStr">
        <is>
          <t>00.브랜드검색PCMO</t>
        </is>
      </c>
      <c r="K428" t="inlineStr">
        <is>
          <t>01.PC브랜드검색</t>
        </is>
      </c>
      <c r="M428" t="n">
        <v>0</v>
      </c>
      <c r="N428" t="n">
        <v>0</v>
      </c>
      <c r="O428" t="n">
        <v>36666.66666666666</v>
      </c>
      <c r="P428" t="n">
        <v>0</v>
      </c>
      <c r="Q428" t="n">
        <v>0</v>
      </c>
      <c r="R428" t="n">
        <v>0</v>
      </c>
      <c r="S428" t="n">
        <v>0</v>
      </c>
      <c r="T428" t="inlineStr">
        <is>
          <t>BSA</t>
        </is>
      </c>
      <c r="U428" t="inlineStr">
        <is>
          <t>BSA</t>
        </is>
      </c>
    </row>
    <row r="429">
      <c r="C429" t="inlineStr">
        <is>
          <t>BSA</t>
        </is>
      </c>
      <c r="D429" t="inlineStr">
        <is>
          <t>BSA</t>
        </is>
      </c>
      <c r="E429" t="inlineStr">
        <is>
          <t>당월</t>
        </is>
      </c>
      <c r="F429" t="inlineStr">
        <is>
          <t>8월 4주차</t>
        </is>
      </c>
      <c r="G429" t="inlineStr">
        <is>
          <t>네이버</t>
        </is>
      </c>
      <c r="H429" s="16" t="n">
        <v>45164</v>
      </c>
      <c r="I429" t="inlineStr">
        <is>
          <t>MO</t>
        </is>
      </c>
      <c r="J429" t="inlineStr">
        <is>
          <t>00.브랜드검색PCMO</t>
        </is>
      </c>
      <c r="K429" t="inlineStr">
        <is>
          <t>01.MO브랜드검색</t>
        </is>
      </c>
      <c r="M429" t="n">
        <v>0</v>
      </c>
      <c r="N429" t="n">
        <v>0</v>
      </c>
      <c r="O429" t="n">
        <v>51333.33333333334</v>
      </c>
      <c r="P429" t="n">
        <v>0</v>
      </c>
      <c r="Q429" t="n">
        <v>0</v>
      </c>
      <c r="R429" t="n">
        <v>0</v>
      </c>
      <c r="S429" t="n">
        <v>0</v>
      </c>
      <c r="T429" t="inlineStr">
        <is>
          <t>BSA</t>
        </is>
      </c>
      <c r="U429" t="inlineStr">
        <is>
          <t>BSA</t>
        </is>
      </c>
    </row>
    <row r="430">
      <c r="C430" t="inlineStr">
        <is>
          <t>BSA</t>
        </is>
      </c>
      <c r="D430" t="inlineStr">
        <is>
          <t>BSA</t>
        </is>
      </c>
      <c r="E430" t="inlineStr">
        <is>
          <t>당월</t>
        </is>
      </c>
      <c r="F430" t="inlineStr">
        <is>
          <t>8월 4주차</t>
        </is>
      </c>
      <c r="G430" t="inlineStr">
        <is>
          <t>네이버</t>
        </is>
      </c>
      <c r="H430" s="16" t="n">
        <v>45165</v>
      </c>
      <c r="I430" t="inlineStr">
        <is>
          <t>PC</t>
        </is>
      </c>
      <c r="J430" t="inlineStr">
        <is>
          <t>00.브랜드검색PCMO</t>
        </is>
      </c>
      <c r="K430" t="inlineStr">
        <is>
          <t>01.PC브랜드검색</t>
        </is>
      </c>
      <c r="M430" t="n">
        <v>0</v>
      </c>
      <c r="N430" t="n">
        <v>0</v>
      </c>
      <c r="O430" t="n">
        <v>36666.66666666666</v>
      </c>
      <c r="P430" t="n">
        <v>0</v>
      </c>
      <c r="Q430" t="n">
        <v>0</v>
      </c>
      <c r="R430" t="n">
        <v>0</v>
      </c>
      <c r="S430" t="n">
        <v>0</v>
      </c>
      <c r="T430" t="inlineStr">
        <is>
          <t>BSA</t>
        </is>
      </c>
      <c r="U430" t="inlineStr">
        <is>
          <t>BSA</t>
        </is>
      </c>
    </row>
    <row r="431">
      <c r="C431" t="inlineStr">
        <is>
          <t>BSA</t>
        </is>
      </c>
      <c r="D431" t="inlineStr">
        <is>
          <t>BSA</t>
        </is>
      </c>
      <c r="E431" t="inlineStr">
        <is>
          <t>당월</t>
        </is>
      </c>
      <c r="F431" t="inlineStr">
        <is>
          <t>8월 4주차</t>
        </is>
      </c>
      <c r="G431" t="inlineStr">
        <is>
          <t>네이버</t>
        </is>
      </c>
      <c r="H431" s="16" t="n">
        <v>45165</v>
      </c>
      <c r="I431" t="inlineStr">
        <is>
          <t>MO</t>
        </is>
      </c>
      <c r="J431" t="inlineStr">
        <is>
          <t>00.브랜드검색PCMO</t>
        </is>
      </c>
      <c r="K431" t="inlineStr">
        <is>
          <t>01.MO브랜드검색</t>
        </is>
      </c>
      <c r="M431" t="n">
        <v>0</v>
      </c>
      <c r="N431" t="n">
        <v>0</v>
      </c>
      <c r="O431" t="n">
        <v>51333.33333333334</v>
      </c>
      <c r="P431" t="n">
        <v>0</v>
      </c>
      <c r="Q431" t="n">
        <v>0</v>
      </c>
      <c r="R431" t="n">
        <v>0</v>
      </c>
      <c r="S431" t="n">
        <v>0</v>
      </c>
      <c r="T431" t="inlineStr">
        <is>
          <t>BSA</t>
        </is>
      </c>
      <c r="U431" t="inlineStr">
        <is>
          <t>BSA</t>
        </is>
      </c>
    </row>
    <row r="432">
      <c r="H432" s="3" t="n"/>
    </row>
    <row r="433">
      <c r="H433" s="3" t="n"/>
    </row>
    <row r="437">
      <c r="C437" t="inlineStr">
        <is>
          <t>BSA</t>
        </is>
      </c>
      <c r="D437" t="inlineStr">
        <is>
          <t>BSA</t>
        </is>
      </c>
      <c r="E437" t="inlineStr">
        <is>
          <t>당월</t>
        </is>
      </c>
      <c r="F437" t="inlineStr">
        <is>
          <t>9월 3주차</t>
        </is>
      </c>
      <c r="G437" t="inlineStr">
        <is>
          <t>네이버</t>
        </is>
      </c>
      <c r="H437" s="16" t="n">
        <v>45184</v>
      </c>
      <c r="I437" t="inlineStr">
        <is>
          <t>PC</t>
        </is>
      </c>
      <c r="J437" t="inlineStr">
        <is>
          <t>00.브랜드검색PCMO</t>
        </is>
      </c>
      <c r="K437" t="inlineStr">
        <is>
          <t>01.PC브랜드검색</t>
        </is>
      </c>
      <c r="M437" t="n">
        <v>0</v>
      </c>
      <c r="N437" t="n">
        <v>0</v>
      </c>
      <c r="O437" t="n">
        <v>36666.66666666666</v>
      </c>
      <c r="P437" t="n">
        <v>0</v>
      </c>
      <c r="Q437" t="n">
        <v>0</v>
      </c>
      <c r="R437" t="n">
        <v>0</v>
      </c>
      <c r="S437" t="n">
        <v>0</v>
      </c>
      <c r="T437" t="inlineStr">
        <is>
          <t>BSA</t>
        </is>
      </c>
      <c r="U437" t="inlineStr">
        <is>
          <t>BSA</t>
        </is>
      </c>
    </row>
    <row r="438">
      <c r="C438" t="inlineStr">
        <is>
          <t>BSA</t>
        </is>
      </c>
      <c r="D438" t="inlineStr">
        <is>
          <t>BSA</t>
        </is>
      </c>
      <c r="E438" t="inlineStr">
        <is>
          <t>당월</t>
        </is>
      </c>
      <c r="F438" t="inlineStr">
        <is>
          <t>9월 3주차</t>
        </is>
      </c>
      <c r="G438" t="inlineStr">
        <is>
          <t>네이버</t>
        </is>
      </c>
      <c r="H438" s="16" t="n">
        <v>45184</v>
      </c>
      <c r="I438" t="inlineStr">
        <is>
          <t>MO</t>
        </is>
      </c>
      <c r="J438" t="inlineStr">
        <is>
          <t>00.브랜드검색PCMO</t>
        </is>
      </c>
      <c r="K438" t="inlineStr">
        <is>
          <t>01.MO브랜드검색</t>
        </is>
      </c>
      <c r="M438" t="n">
        <v>0</v>
      </c>
      <c r="N438" t="n">
        <v>0</v>
      </c>
      <c r="O438" t="n">
        <v>51333.33333333334</v>
      </c>
      <c r="P438" t="n">
        <v>0</v>
      </c>
      <c r="Q438" t="n">
        <v>0</v>
      </c>
      <c r="R438" t="n">
        <v>0</v>
      </c>
      <c r="S438" t="n">
        <v>0</v>
      </c>
      <c r="T438" t="inlineStr">
        <is>
          <t>BSA</t>
        </is>
      </c>
      <c r="U438" t="inlineStr">
        <is>
          <t>BSA</t>
        </is>
      </c>
    </row>
    <row r="439">
      <c r="C439" t="inlineStr">
        <is>
          <t>BSA</t>
        </is>
      </c>
      <c r="D439" t="inlineStr">
        <is>
          <t>BSA</t>
        </is>
      </c>
      <c r="E439" t="inlineStr">
        <is>
          <t>당월</t>
        </is>
      </c>
      <c r="F439" t="inlineStr">
        <is>
          <t>9월 3주차</t>
        </is>
      </c>
      <c r="G439" t="inlineStr">
        <is>
          <t>네이버</t>
        </is>
      </c>
      <c r="H439" s="16" t="n">
        <v>45185</v>
      </c>
      <c r="I439" t="inlineStr">
        <is>
          <t>PC</t>
        </is>
      </c>
      <c r="J439" t="inlineStr">
        <is>
          <t>00.브랜드검색PCMO</t>
        </is>
      </c>
      <c r="K439" t="inlineStr">
        <is>
          <t>01.PC브랜드검색</t>
        </is>
      </c>
      <c r="M439" t="n">
        <v>0</v>
      </c>
      <c r="N439" t="n">
        <v>0</v>
      </c>
      <c r="O439" t="n">
        <v>36666.66666666666</v>
      </c>
      <c r="P439" t="n">
        <v>0</v>
      </c>
      <c r="Q439" t="n">
        <v>0</v>
      </c>
      <c r="R439" t="n">
        <v>0</v>
      </c>
      <c r="S439" t="n">
        <v>0</v>
      </c>
      <c r="T439" t="inlineStr">
        <is>
          <t>BSA</t>
        </is>
      </c>
      <c r="U439" t="inlineStr">
        <is>
          <t>BSA</t>
        </is>
      </c>
    </row>
    <row r="440">
      <c r="C440" t="inlineStr">
        <is>
          <t>BSA</t>
        </is>
      </c>
      <c r="D440" t="inlineStr">
        <is>
          <t>BSA</t>
        </is>
      </c>
      <c r="E440" t="inlineStr">
        <is>
          <t>당월</t>
        </is>
      </c>
      <c r="F440" t="inlineStr">
        <is>
          <t>9월 3주차</t>
        </is>
      </c>
      <c r="G440" t="inlineStr">
        <is>
          <t>네이버</t>
        </is>
      </c>
      <c r="H440" s="16" t="n">
        <v>45185</v>
      </c>
      <c r="I440" t="inlineStr">
        <is>
          <t>MO</t>
        </is>
      </c>
      <c r="J440" t="inlineStr">
        <is>
          <t>00.브랜드검색PCMO</t>
        </is>
      </c>
      <c r="K440" t="inlineStr">
        <is>
          <t>01.MO브랜드검색</t>
        </is>
      </c>
      <c r="M440" t="n">
        <v>0</v>
      </c>
      <c r="N440" t="n">
        <v>0</v>
      </c>
      <c r="O440" t="n">
        <v>51333.33333333334</v>
      </c>
      <c r="P440" t="n">
        <v>0</v>
      </c>
      <c r="Q440" t="n">
        <v>0</v>
      </c>
      <c r="R440" t="n">
        <v>0</v>
      </c>
      <c r="S440" t="n">
        <v>0</v>
      </c>
      <c r="T440" t="inlineStr">
        <is>
          <t>BSA</t>
        </is>
      </c>
      <c r="U440" t="inlineStr">
        <is>
          <t>BSA</t>
        </is>
      </c>
    </row>
    <row r="441">
      <c r="C441" t="inlineStr">
        <is>
          <t>BSA</t>
        </is>
      </c>
      <c r="D441" t="inlineStr">
        <is>
          <t>BSA</t>
        </is>
      </c>
      <c r="E441" t="inlineStr">
        <is>
          <t>당월</t>
        </is>
      </c>
      <c r="F441" t="inlineStr">
        <is>
          <t>9월 3주차</t>
        </is>
      </c>
      <c r="G441" t="inlineStr">
        <is>
          <t>네이버</t>
        </is>
      </c>
      <c r="H441" s="16" t="n">
        <v>45186</v>
      </c>
      <c r="I441" t="inlineStr">
        <is>
          <t>PC</t>
        </is>
      </c>
      <c r="J441" t="inlineStr">
        <is>
          <t>00.브랜드검색PCMO</t>
        </is>
      </c>
      <c r="K441" t="inlineStr">
        <is>
          <t>01.PC브랜드검색</t>
        </is>
      </c>
      <c r="M441" t="n">
        <v>0</v>
      </c>
      <c r="N441" t="n">
        <v>0</v>
      </c>
      <c r="O441" t="n">
        <v>36666.66666666666</v>
      </c>
      <c r="P441" t="n">
        <v>0</v>
      </c>
      <c r="Q441" t="n">
        <v>0</v>
      </c>
      <c r="R441" t="n">
        <v>0</v>
      </c>
      <c r="S441" t="n">
        <v>0</v>
      </c>
      <c r="T441" t="inlineStr">
        <is>
          <t>BSA</t>
        </is>
      </c>
      <c r="U441" t="inlineStr">
        <is>
          <t>BSA</t>
        </is>
      </c>
    </row>
    <row r="442">
      <c r="C442" t="inlineStr">
        <is>
          <t>BSA</t>
        </is>
      </c>
      <c r="D442" t="inlineStr">
        <is>
          <t>BSA</t>
        </is>
      </c>
      <c r="E442" t="inlineStr">
        <is>
          <t>당월</t>
        </is>
      </c>
      <c r="F442" t="inlineStr">
        <is>
          <t>9월 3주차</t>
        </is>
      </c>
      <c r="G442" t="inlineStr">
        <is>
          <t>네이버</t>
        </is>
      </c>
      <c r="H442" s="16" t="n">
        <v>45186</v>
      </c>
      <c r="I442" t="inlineStr">
        <is>
          <t>MO</t>
        </is>
      </c>
      <c r="J442" t="inlineStr">
        <is>
          <t>00.브랜드검색PCMO</t>
        </is>
      </c>
      <c r="K442" t="inlineStr">
        <is>
          <t>01.MO브랜드검색</t>
        </is>
      </c>
      <c r="M442" t="n">
        <v>0</v>
      </c>
      <c r="N442" t="n">
        <v>0</v>
      </c>
      <c r="O442" t="n">
        <v>51333.33333333334</v>
      </c>
      <c r="P442" t="n">
        <v>0</v>
      </c>
      <c r="Q442" t="n">
        <v>0</v>
      </c>
      <c r="R442" t="n">
        <v>0</v>
      </c>
      <c r="S442" t="n">
        <v>0</v>
      </c>
      <c r="T442" t="inlineStr">
        <is>
          <t>BSA</t>
        </is>
      </c>
      <c r="U442" t="inlineStr">
        <is>
          <t>BSA</t>
        </is>
      </c>
    </row>
    <row r="444">
      <c r="J444" s="16" t="n">
        <v>45190</v>
      </c>
    </row>
    <row r="445">
      <c r="H445" s="16" t="n"/>
      <c r="J445" s="16" t="n"/>
    </row>
    <row r="446">
      <c r="H446" s="16" t="n"/>
      <c r="J446" s="16" t="n"/>
    </row>
    <row r="447">
      <c r="H447" s="16" t="n"/>
      <c r="J447" s="16" t="n"/>
    </row>
    <row r="448">
      <c r="H448" s="16" t="n"/>
      <c r="J448" s="16" t="n"/>
    </row>
    <row r="449">
      <c r="H449" s="16" t="n"/>
    </row>
    <row r="450">
      <c r="H450" s="16" t="n"/>
    </row>
    <row r="451">
      <c r="H451" s="16" t="n"/>
    </row>
    <row r="453">
      <c r="C453" t="inlineStr">
        <is>
          <t>BSA</t>
        </is>
      </c>
      <c r="D453" t="inlineStr">
        <is>
          <t>BSA</t>
        </is>
      </c>
      <c r="E453" t="inlineStr">
        <is>
          <t>당월</t>
        </is>
      </c>
      <c r="F453" t="inlineStr">
        <is>
          <t>9월 4주차</t>
        </is>
      </c>
      <c r="G453" t="inlineStr">
        <is>
          <t>네이버</t>
        </is>
      </c>
      <c r="H453" s="16" t="n">
        <v>45187</v>
      </c>
      <c r="I453" t="inlineStr">
        <is>
          <t>PC</t>
        </is>
      </c>
      <c r="J453" t="inlineStr">
        <is>
          <t>00.브랜드검색PCMO</t>
        </is>
      </c>
      <c r="K453" t="inlineStr">
        <is>
          <t>01.PC브랜드검색</t>
        </is>
      </c>
      <c r="M453" t="n">
        <v>0</v>
      </c>
      <c r="N453" t="n">
        <v>0</v>
      </c>
      <c r="O453" t="n">
        <v>36666.66666666666</v>
      </c>
      <c r="P453" t="n">
        <v>0</v>
      </c>
      <c r="Q453" t="n">
        <v>0</v>
      </c>
      <c r="R453" t="n">
        <v>0</v>
      </c>
      <c r="S453" t="n">
        <v>0</v>
      </c>
      <c r="T453" t="inlineStr">
        <is>
          <t>BSA</t>
        </is>
      </c>
      <c r="U453" t="inlineStr">
        <is>
          <t>BSA</t>
        </is>
      </c>
    </row>
    <row r="454">
      <c r="C454" t="inlineStr">
        <is>
          <t>BSA</t>
        </is>
      </c>
      <c r="D454" t="inlineStr">
        <is>
          <t>BSA</t>
        </is>
      </c>
      <c r="E454" t="inlineStr">
        <is>
          <t>당월</t>
        </is>
      </c>
      <c r="F454" t="inlineStr">
        <is>
          <t>9월 4주차</t>
        </is>
      </c>
      <c r="G454" t="inlineStr">
        <is>
          <t>네이버</t>
        </is>
      </c>
      <c r="H454" s="16" t="n">
        <v>45187</v>
      </c>
      <c r="I454" t="inlineStr">
        <is>
          <t>MO</t>
        </is>
      </c>
      <c r="J454" t="inlineStr">
        <is>
          <t>00.브랜드검색PCMO</t>
        </is>
      </c>
      <c r="K454" t="inlineStr">
        <is>
          <t>01.MO브랜드검색</t>
        </is>
      </c>
      <c r="M454" t="n">
        <v>0</v>
      </c>
      <c r="N454" t="n">
        <v>0</v>
      </c>
      <c r="O454" t="n">
        <v>51333.33333333334</v>
      </c>
      <c r="P454" t="n">
        <v>0</v>
      </c>
      <c r="Q454" t="n">
        <v>0</v>
      </c>
      <c r="R454" t="n">
        <v>0</v>
      </c>
      <c r="S454" t="n">
        <v>0</v>
      </c>
      <c r="T454" t="inlineStr">
        <is>
          <t>BSA</t>
        </is>
      </c>
      <c r="U454" t="inlineStr">
        <is>
          <t>BSA</t>
        </is>
      </c>
    </row>
    <row r="455">
      <c r="C455" t="inlineStr">
        <is>
          <t>BSA</t>
        </is>
      </c>
      <c r="D455" t="inlineStr">
        <is>
          <t>BSA</t>
        </is>
      </c>
      <c r="E455" t="inlineStr">
        <is>
          <t>당월</t>
        </is>
      </c>
      <c r="F455" t="inlineStr">
        <is>
          <t>9월 4주차</t>
        </is>
      </c>
      <c r="G455" t="inlineStr">
        <is>
          <t>네이버</t>
        </is>
      </c>
      <c r="H455" s="16" t="n">
        <v>45188</v>
      </c>
      <c r="I455" t="inlineStr">
        <is>
          <t>PC</t>
        </is>
      </c>
      <c r="J455" t="inlineStr">
        <is>
          <t>00.브랜드검색PCMO</t>
        </is>
      </c>
      <c r="K455" t="inlineStr">
        <is>
          <t>01.PC브랜드검색</t>
        </is>
      </c>
      <c r="M455" t="n">
        <v>0</v>
      </c>
      <c r="N455" t="n">
        <v>0</v>
      </c>
      <c r="O455" t="n">
        <v>36666.66666666666</v>
      </c>
      <c r="P455" t="n">
        <v>0</v>
      </c>
      <c r="Q455" t="n">
        <v>0</v>
      </c>
      <c r="R455" t="n">
        <v>0</v>
      </c>
      <c r="S455" t="n">
        <v>0</v>
      </c>
      <c r="T455" t="inlineStr">
        <is>
          <t>BSA</t>
        </is>
      </c>
      <c r="U455" t="inlineStr">
        <is>
          <t>BSA</t>
        </is>
      </c>
    </row>
    <row r="456">
      <c r="C456" t="inlineStr">
        <is>
          <t>BSA</t>
        </is>
      </c>
      <c r="D456" t="inlineStr">
        <is>
          <t>BSA</t>
        </is>
      </c>
      <c r="E456" t="inlineStr">
        <is>
          <t>당월</t>
        </is>
      </c>
      <c r="F456" t="inlineStr">
        <is>
          <t>9월 4주차</t>
        </is>
      </c>
      <c r="G456" t="inlineStr">
        <is>
          <t>네이버</t>
        </is>
      </c>
      <c r="H456" s="16" t="n">
        <v>45188</v>
      </c>
      <c r="I456" t="inlineStr">
        <is>
          <t>MO</t>
        </is>
      </c>
      <c r="J456" t="inlineStr">
        <is>
          <t>00.브랜드검색PCMO</t>
        </is>
      </c>
      <c r="K456" t="inlineStr">
        <is>
          <t>01.MO브랜드검색</t>
        </is>
      </c>
      <c r="M456" t="n">
        <v>0</v>
      </c>
      <c r="N456" t="n">
        <v>0</v>
      </c>
      <c r="O456" t="n">
        <v>51333.33333333334</v>
      </c>
      <c r="P456" t="n">
        <v>0</v>
      </c>
      <c r="Q456" t="n">
        <v>0</v>
      </c>
      <c r="R456" t="n">
        <v>0</v>
      </c>
      <c r="S456" t="n">
        <v>0</v>
      </c>
      <c r="T456" t="inlineStr">
        <is>
          <t>BSA</t>
        </is>
      </c>
      <c r="U456" t="inlineStr">
        <is>
          <t>BSA</t>
        </is>
      </c>
    </row>
    <row r="457">
      <c r="C457" t="inlineStr">
        <is>
          <t>BSA</t>
        </is>
      </c>
      <c r="D457" t="inlineStr">
        <is>
          <t>BSA</t>
        </is>
      </c>
      <c r="E457" t="inlineStr">
        <is>
          <t>당월</t>
        </is>
      </c>
      <c r="F457" t="inlineStr">
        <is>
          <t>9월 4주차</t>
        </is>
      </c>
      <c r="G457" t="inlineStr">
        <is>
          <t>네이버</t>
        </is>
      </c>
      <c r="H457" s="16" t="n">
        <v>45189</v>
      </c>
      <c r="I457" t="inlineStr">
        <is>
          <t>PC</t>
        </is>
      </c>
      <c r="J457" t="inlineStr">
        <is>
          <t>00.브랜드검색PCMO</t>
        </is>
      </c>
      <c r="K457" t="inlineStr">
        <is>
          <t>01.PC브랜드검색</t>
        </is>
      </c>
      <c r="M457" t="n">
        <v>0</v>
      </c>
      <c r="N457" t="n">
        <v>0</v>
      </c>
      <c r="O457" t="n">
        <v>36666.66666666666</v>
      </c>
      <c r="P457" t="n">
        <v>0</v>
      </c>
      <c r="Q457" t="n">
        <v>0</v>
      </c>
      <c r="R457" t="n">
        <v>0</v>
      </c>
      <c r="S457" t="n">
        <v>0</v>
      </c>
      <c r="T457" t="inlineStr">
        <is>
          <t>BSA</t>
        </is>
      </c>
      <c r="U457" t="inlineStr">
        <is>
          <t>BSA</t>
        </is>
      </c>
    </row>
    <row r="458">
      <c r="C458" t="inlineStr">
        <is>
          <t>BSA</t>
        </is>
      </c>
      <c r="D458" t="inlineStr">
        <is>
          <t>BSA</t>
        </is>
      </c>
      <c r="E458" t="inlineStr">
        <is>
          <t>당월</t>
        </is>
      </c>
      <c r="F458" t="inlineStr">
        <is>
          <t>9월 4주차</t>
        </is>
      </c>
      <c r="G458" t="inlineStr">
        <is>
          <t>네이버</t>
        </is>
      </c>
      <c r="H458" s="16" t="n">
        <v>45189</v>
      </c>
      <c r="I458" t="inlineStr">
        <is>
          <t>MO</t>
        </is>
      </c>
      <c r="J458" t="inlineStr">
        <is>
          <t>00.브랜드검색PCMO</t>
        </is>
      </c>
      <c r="K458" t="inlineStr">
        <is>
          <t>01.MO브랜드검색</t>
        </is>
      </c>
      <c r="M458" t="n">
        <v>0</v>
      </c>
      <c r="N458" t="n">
        <v>0</v>
      </c>
      <c r="O458" t="n">
        <v>51333.33333333334</v>
      </c>
      <c r="P458" t="n">
        <v>0</v>
      </c>
      <c r="Q458" t="n">
        <v>0</v>
      </c>
      <c r="R458" t="n">
        <v>0</v>
      </c>
      <c r="S458" t="n">
        <v>0</v>
      </c>
      <c r="T458" t="inlineStr">
        <is>
          <t>BSA</t>
        </is>
      </c>
      <c r="U458" t="inlineStr">
        <is>
          <t>BSA</t>
        </is>
      </c>
    </row>
    <row r="459">
      <c r="C459" t="inlineStr">
        <is>
          <t>BSA</t>
        </is>
      </c>
      <c r="D459" t="inlineStr">
        <is>
          <t>BSA</t>
        </is>
      </c>
      <c r="E459" t="inlineStr">
        <is>
          <t>당월</t>
        </is>
      </c>
      <c r="F459" t="inlineStr">
        <is>
          <t>9월 4주차</t>
        </is>
      </c>
      <c r="G459" t="inlineStr">
        <is>
          <t>네이버</t>
        </is>
      </c>
      <c r="H459" s="16" t="n">
        <v>45190</v>
      </c>
      <c r="I459" t="inlineStr">
        <is>
          <t>PC</t>
        </is>
      </c>
      <c r="J459" t="inlineStr">
        <is>
          <t>00.브랜드검색PCMO</t>
        </is>
      </c>
      <c r="K459" t="inlineStr">
        <is>
          <t>01.PC브랜드검색</t>
        </is>
      </c>
      <c r="M459" t="n">
        <v>0</v>
      </c>
      <c r="N459" t="n">
        <v>0</v>
      </c>
      <c r="O459" t="n">
        <v>36666.66666666666</v>
      </c>
      <c r="P459" t="n">
        <v>0</v>
      </c>
      <c r="Q459" t="n">
        <v>0</v>
      </c>
      <c r="R459" t="n">
        <v>0</v>
      </c>
      <c r="S459" t="n">
        <v>0</v>
      </c>
      <c r="T459" t="inlineStr">
        <is>
          <t>BSA</t>
        </is>
      </c>
      <c r="U459" t="inlineStr">
        <is>
          <t>BSA</t>
        </is>
      </c>
    </row>
    <row r="460">
      <c r="C460" t="inlineStr">
        <is>
          <t>BSA</t>
        </is>
      </c>
      <c r="D460" t="inlineStr">
        <is>
          <t>BSA</t>
        </is>
      </c>
      <c r="E460" t="inlineStr">
        <is>
          <t>당월</t>
        </is>
      </c>
      <c r="F460" t="inlineStr">
        <is>
          <t>9월 4주차</t>
        </is>
      </c>
      <c r="G460" t="inlineStr">
        <is>
          <t>네이버</t>
        </is>
      </c>
      <c r="H460" s="16" t="n">
        <v>45190</v>
      </c>
      <c r="I460" t="inlineStr">
        <is>
          <t>MO</t>
        </is>
      </c>
      <c r="J460" t="inlineStr">
        <is>
          <t>00.브랜드검색PCMO</t>
        </is>
      </c>
      <c r="K460" t="inlineStr">
        <is>
          <t>01.MO브랜드검색</t>
        </is>
      </c>
      <c r="M460" t="n">
        <v>0</v>
      </c>
      <c r="N460" t="n">
        <v>0</v>
      </c>
      <c r="O460" t="n">
        <v>51333.33333333334</v>
      </c>
      <c r="P460" t="n">
        <v>0</v>
      </c>
      <c r="Q460" t="n">
        <v>0</v>
      </c>
      <c r="R460" t="n">
        <v>0</v>
      </c>
      <c r="S460" t="n">
        <v>0</v>
      </c>
      <c r="T460" t="inlineStr">
        <is>
          <t>BSA</t>
        </is>
      </c>
      <c r="U460" t="inlineStr">
        <is>
          <t>BSA</t>
        </is>
      </c>
    </row>
    <row r="461">
      <c r="C461" t="inlineStr">
        <is>
          <t>BSA</t>
        </is>
      </c>
      <c r="D461" t="inlineStr">
        <is>
          <t>BSA</t>
        </is>
      </c>
      <c r="E461" t="inlineStr">
        <is>
          <t>당월</t>
        </is>
      </c>
      <c r="F461" t="inlineStr">
        <is>
          <t>9월 4주차</t>
        </is>
      </c>
      <c r="G461" t="inlineStr">
        <is>
          <t>네이버</t>
        </is>
      </c>
      <c r="H461" s="16" t="n">
        <v>45191</v>
      </c>
      <c r="I461" t="inlineStr">
        <is>
          <t>PC</t>
        </is>
      </c>
      <c r="J461" t="inlineStr">
        <is>
          <t>00.브랜드검색PCMO</t>
        </is>
      </c>
      <c r="K461" t="inlineStr">
        <is>
          <t>01.PC브랜드검색</t>
        </is>
      </c>
      <c r="M461" t="n">
        <v>0</v>
      </c>
      <c r="N461" t="n">
        <v>0</v>
      </c>
      <c r="O461" t="n">
        <v>36666.66666666666</v>
      </c>
      <c r="P461" t="n">
        <v>0</v>
      </c>
      <c r="Q461" t="n">
        <v>0</v>
      </c>
      <c r="R461" t="n">
        <v>0</v>
      </c>
      <c r="S461" t="n">
        <v>0</v>
      </c>
      <c r="T461" t="inlineStr">
        <is>
          <t>BSA</t>
        </is>
      </c>
      <c r="U461" t="inlineStr">
        <is>
          <t>BSA</t>
        </is>
      </c>
    </row>
    <row r="462">
      <c r="C462" t="inlineStr">
        <is>
          <t>BSA</t>
        </is>
      </c>
      <c r="D462" t="inlineStr">
        <is>
          <t>BSA</t>
        </is>
      </c>
      <c r="E462" t="inlineStr">
        <is>
          <t>당월</t>
        </is>
      </c>
      <c r="F462" t="inlineStr">
        <is>
          <t>9월 4주차</t>
        </is>
      </c>
      <c r="G462" t="inlineStr">
        <is>
          <t>네이버</t>
        </is>
      </c>
      <c r="H462" s="16" t="n">
        <v>45191</v>
      </c>
      <c r="I462" t="inlineStr">
        <is>
          <t>MO</t>
        </is>
      </c>
      <c r="J462" t="inlineStr">
        <is>
          <t>00.브랜드검색PCMO</t>
        </is>
      </c>
      <c r="K462" t="inlineStr">
        <is>
          <t>01.MO브랜드검색</t>
        </is>
      </c>
      <c r="M462" t="n">
        <v>0</v>
      </c>
      <c r="N462" t="n">
        <v>0</v>
      </c>
      <c r="O462" t="n">
        <v>51333.33333333334</v>
      </c>
      <c r="P462" t="n">
        <v>0</v>
      </c>
      <c r="Q462" t="n">
        <v>0</v>
      </c>
      <c r="R462" t="n">
        <v>0</v>
      </c>
      <c r="S462" t="n">
        <v>0</v>
      </c>
      <c r="T462" t="inlineStr">
        <is>
          <t>BSA</t>
        </is>
      </c>
      <c r="U462" t="inlineStr">
        <is>
          <t>BSA</t>
        </is>
      </c>
    </row>
    <row r="463">
      <c r="C463" t="inlineStr">
        <is>
          <t>BSA</t>
        </is>
      </c>
      <c r="D463" t="inlineStr">
        <is>
          <t>BSA</t>
        </is>
      </c>
      <c r="E463" t="inlineStr">
        <is>
          <t>당월</t>
        </is>
      </c>
      <c r="F463" t="inlineStr">
        <is>
          <t>9월 4주차</t>
        </is>
      </c>
      <c r="G463" t="inlineStr">
        <is>
          <t>네이버</t>
        </is>
      </c>
      <c r="H463" s="16" t="n">
        <v>45192</v>
      </c>
      <c r="I463" t="inlineStr">
        <is>
          <t>PC</t>
        </is>
      </c>
      <c r="J463" t="inlineStr">
        <is>
          <t>00.브랜드검색PCMO</t>
        </is>
      </c>
      <c r="K463" t="inlineStr">
        <is>
          <t>01.PC브랜드검색</t>
        </is>
      </c>
      <c r="M463" t="n">
        <v>0</v>
      </c>
      <c r="N463" t="n">
        <v>0</v>
      </c>
      <c r="O463" t="n">
        <v>36666.66666666666</v>
      </c>
      <c r="P463" t="n">
        <v>0</v>
      </c>
      <c r="Q463" t="n">
        <v>0</v>
      </c>
      <c r="R463" t="n">
        <v>0</v>
      </c>
      <c r="S463" t="n">
        <v>0</v>
      </c>
      <c r="T463" t="inlineStr">
        <is>
          <t>BSA</t>
        </is>
      </c>
      <c r="U463" t="inlineStr">
        <is>
          <t>BSA</t>
        </is>
      </c>
    </row>
    <row r="464">
      <c r="C464" t="inlineStr">
        <is>
          <t>BSA</t>
        </is>
      </c>
      <c r="D464" t="inlineStr">
        <is>
          <t>BSA</t>
        </is>
      </c>
      <c r="E464" t="inlineStr">
        <is>
          <t>당월</t>
        </is>
      </c>
      <c r="F464" t="inlineStr">
        <is>
          <t>9월 4주차</t>
        </is>
      </c>
      <c r="G464" t="inlineStr">
        <is>
          <t>네이버</t>
        </is>
      </c>
      <c r="H464" s="16" t="n">
        <v>45192</v>
      </c>
      <c r="I464" t="inlineStr">
        <is>
          <t>MO</t>
        </is>
      </c>
      <c r="J464" t="inlineStr">
        <is>
          <t>00.브랜드검색PCMO</t>
        </is>
      </c>
      <c r="K464" t="inlineStr">
        <is>
          <t>01.MO브랜드검색</t>
        </is>
      </c>
      <c r="M464" t="n">
        <v>0</v>
      </c>
      <c r="N464" t="n">
        <v>0</v>
      </c>
      <c r="O464" t="n">
        <v>51333.33333333334</v>
      </c>
      <c r="P464" t="n">
        <v>0</v>
      </c>
      <c r="Q464" t="n">
        <v>0</v>
      </c>
      <c r="R464" t="n">
        <v>0</v>
      </c>
      <c r="S464" t="n">
        <v>0</v>
      </c>
      <c r="T464" t="inlineStr">
        <is>
          <t>BSA</t>
        </is>
      </c>
      <c r="U464" t="inlineStr">
        <is>
          <t>BSA</t>
        </is>
      </c>
    </row>
    <row r="465">
      <c r="C465" t="inlineStr">
        <is>
          <t>BSA</t>
        </is>
      </c>
      <c r="D465" t="inlineStr">
        <is>
          <t>BSA</t>
        </is>
      </c>
      <c r="E465" t="inlineStr">
        <is>
          <t>당월</t>
        </is>
      </c>
      <c r="F465" t="inlineStr">
        <is>
          <t>9월 4주차</t>
        </is>
      </c>
      <c r="G465" t="inlineStr">
        <is>
          <t>네이버</t>
        </is>
      </c>
      <c r="H465" s="16" t="n">
        <v>45193</v>
      </c>
      <c r="I465" t="inlineStr">
        <is>
          <t>PC</t>
        </is>
      </c>
      <c r="J465" t="inlineStr">
        <is>
          <t>00.브랜드검색PCMO</t>
        </is>
      </c>
      <c r="K465" t="inlineStr">
        <is>
          <t>01.PC브랜드검색</t>
        </is>
      </c>
      <c r="M465" t="n">
        <v>0</v>
      </c>
      <c r="N465" t="n">
        <v>0</v>
      </c>
      <c r="O465" t="n">
        <v>36666.66666666666</v>
      </c>
      <c r="P465" t="n">
        <v>0</v>
      </c>
      <c r="Q465" t="n">
        <v>0</v>
      </c>
      <c r="R465" t="n">
        <v>0</v>
      </c>
      <c r="S465" t="n">
        <v>0</v>
      </c>
      <c r="T465" t="inlineStr">
        <is>
          <t>BSA</t>
        </is>
      </c>
      <c r="U465" t="inlineStr">
        <is>
          <t>BSA</t>
        </is>
      </c>
    </row>
    <row r="466">
      <c r="C466" t="inlineStr">
        <is>
          <t>BSA</t>
        </is>
      </c>
      <c r="D466" t="inlineStr">
        <is>
          <t>BSA</t>
        </is>
      </c>
      <c r="E466" t="inlineStr">
        <is>
          <t>당월</t>
        </is>
      </c>
      <c r="F466" t="inlineStr">
        <is>
          <t>9월 4주차</t>
        </is>
      </c>
      <c r="G466" t="inlineStr">
        <is>
          <t>네이버</t>
        </is>
      </c>
      <c r="H466" s="16" t="n">
        <v>45193</v>
      </c>
      <c r="I466" t="inlineStr">
        <is>
          <t>MO</t>
        </is>
      </c>
      <c r="J466" t="inlineStr">
        <is>
          <t>00.브랜드검색PCMO</t>
        </is>
      </c>
      <c r="K466" t="inlineStr">
        <is>
          <t>01.MO브랜드검색</t>
        </is>
      </c>
      <c r="M466" t="n">
        <v>0</v>
      </c>
      <c r="N466" t="n">
        <v>0</v>
      </c>
      <c r="O466" t="n">
        <v>51333.33333333334</v>
      </c>
      <c r="P466" t="n">
        <v>0</v>
      </c>
      <c r="Q466" t="n">
        <v>0</v>
      </c>
      <c r="R466" t="n">
        <v>0</v>
      </c>
      <c r="S466" t="n">
        <v>0</v>
      </c>
      <c r="T466" t="inlineStr">
        <is>
          <t>BSA</t>
        </is>
      </c>
      <c r="U466" t="inlineStr">
        <is>
          <t>BSA</t>
        </is>
      </c>
    </row>
    <row r="470">
      <c r="H470" s="16" t="n"/>
    </row>
    <row r="471">
      <c r="H471" s="16" t="n"/>
      <c r="I471" s="16" t="n">
        <v>45198</v>
      </c>
    </row>
    <row r="472">
      <c r="H472" s="16" t="n">
        <v>45194</v>
      </c>
      <c r="I472" s="16" t="n">
        <v>45199</v>
      </c>
    </row>
    <row r="473">
      <c r="H473" s="16" t="n">
        <v>45195</v>
      </c>
      <c r="I473" s="16" t="n">
        <v>45200</v>
      </c>
    </row>
    <row r="474">
      <c r="H474" s="16" t="n">
        <v>45196</v>
      </c>
      <c r="I474" s="16" t="n">
        <v>45201</v>
      </c>
    </row>
    <row r="475">
      <c r="H475" s="16" t="n">
        <v>45197</v>
      </c>
      <c r="I475" s="16" t="n">
        <v>45202</v>
      </c>
    </row>
    <row r="476">
      <c r="H476" s="16" t="n">
        <v>45198</v>
      </c>
      <c r="I476" s="16" t="n">
        <v>45203</v>
      </c>
    </row>
    <row r="477">
      <c r="H477" s="16" t="n">
        <v>45199</v>
      </c>
    </row>
    <row r="480">
      <c r="C480" t="inlineStr">
        <is>
          <t>BSA</t>
        </is>
      </c>
      <c r="D480" t="inlineStr">
        <is>
          <t>BSA</t>
        </is>
      </c>
      <c r="E480" t="inlineStr">
        <is>
          <t>당월</t>
        </is>
      </c>
      <c r="F480" t="inlineStr">
        <is>
          <t>9월 5주차</t>
        </is>
      </c>
      <c r="G480" t="inlineStr">
        <is>
          <t>네이버</t>
        </is>
      </c>
      <c r="H480" s="16" t="n">
        <v>45194</v>
      </c>
      <c r="I480" t="inlineStr">
        <is>
          <t>PC</t>
        </is>
      </c>
      <c r="J480" t="inlineStr">
        <is>
          <t>00.브랜드검색PCMO</t>
        </is>
      </c>
      <c r="K480" t="inlineStr">
        <is>
          <t>01.PC브랜드검색</t>
        </is>
      </c>
      <c r="M480" t="n">
        <v>0</v>
      </c>
      <c r="N480" t="n">
        <v>0</v>
      </c>
      <c r="O480" t="n">
        <v>36666.66666666666</v>
      </c>
      <c r="P480" t="n">
        <v>0</v>
      </c>
      <c r="Q480" t="n">
        <v>0</v>
      </c>
      <c r="R480" t="n">
        <v>0</v>
      </c>
      <c r="S480" t="n">
        <v>0</v>
      </c>
      <c r="T480" t="inlineStr">
        <is>
          <t>BSA</t>
        </is>
      </c>
      <c r="U480" t="inlineStr">
        <is>
          <t>BSA</t>
        </is>
      </c>
    </row>
    <row r="481">
      <c r="C481" t="inlineStr">
        <is>
          <t>BSA</t>
        </is>
      </c>
      <c r="D481" t="inlineStr">
        <is>
          <t>BSA</t>
        </is>
      </c>
      <c r="E481" t="inlineStr">
        <is>
          <t>당월</t>
        </is>
      </c>
      <c r="F481" t="inlineStr">
        <is>
          <t>9월 5주차</t>
        </is>
      </c>
      <c r="G481" t="inlineStr">
        <is>
          <t>네이버</t>
        </is>
      </c>
      <c r="H481" s="16" t="n">
        <v>45194</v>
      </c>
      <c r="I481" t="inlineStr">
        <is>
          <t>MO</t>
        </is>
      </c>
      <c r="J481" t="inlineStr">
        <is>
          <t>00.브랜드검색PCMO</t>
        </is>
      </c>
      <c r="K481" t="inlineStr">
        <is>
          <t>01.MO브랜드검색</t>
        </is>
      </c>
      <c r="M481" t="n">
        <v>0</v>
      </c>
      <c r="N481" t="n">
        <v>0</v>
      </c>
      <c r="O481" t="n">
        <v>51333.33333333334</v>
      </c>
      <c r="P481" t="n">
        <v>0</v>
      </c>
      <c r="Q481" t="n">
        <v>0</v>
      </c>
      <c r="R481" t="n">
        <v>0</v>
      </c>
      <c r="S481" t="n">
        <v>0</v>
      </c>
      <c r="T481" t="inlineStr">
        <is>
          <t>BSA</t>
        </is>
      </c>
      <c r="U481" t="inlineStr">
        <is>
          <t>BSA</t>
        </is>
      </c>
    </row>
    <row r="482">
      <c r="C482" t="inlineStr">
        <is>
          <t>BSA</t>
        </is>
      </c>
      <c r="D482" t="inlineStr">
        <is>
          <t>BSA</t>
        </is>
      </c>
      <c r="E482" t="inlineStr">
        <is>
          <t>당월</t>
        </is>
      </c>
      <c r="F482" t="inlineStr">
        <is>
          <t>9월 5주차</t>
        </is>
      </c>
      <c r="G482" t="inlineStr">
        <is>
          <t>네이버</t>
        </is>
      </c>
      <c r="H482" s="16" t="n">
        <v>45195</v>
      </c>
      <c r="I482" t="inlineStr">
        <is>
          <t>PC</t>
        </is>
      </c>
      <c r="J482" t="inlineStr">
        <is>
          <t>00.브랜드검색PCMO</t>
        </is>
      </c>
      <c r="K482" t="inlineStr">
        <is>
          <t>01.PC브랜드검색</t>
        </is>
      </c>
      <c r="M482" t="n">
        <v>0</v>
      </c>
      <c r="N482" t="n">
        <v>0</v>
      </c>
      <c r="O482" t="n">
        <v>36666.66666666666</v>
      </c>
      <c r="P482" t="n">
        <v>0</v>
      </c>
      <c r="Q482" t="n">
        <v>0</v>
      </c>
      <c r="R482" t="n">
        <v>0</v>
      </c>
      <c r="S482" t="n">
        <v>0</v>
      </c>
      <c r="T482" t="inlineStr">
        <is>
          <t>BSA</t>
        </is>
      </c>
      <c r="U482" t="inlineStr">
        <is>
          <t>BSA</t>
        </is>
      </c>
    </row>
    <row r="483">
      <c r="C483" t="inlineStr">
        <is>
          <t>BSA</t>
        </is>
      </c>
      <c r="D483" t="inlineStr">
        <is>
          <t>BSA</t>
        </is>
      </c>
      <c r="E483" t="inlineStr">
        <is>
          <t>당월</t>
        </is>
      </c>
      <c r="F483" t="inlineStr">
        <is>
          <t>9월 5주차</t>
        </is>
      </c>
      <c r="G483" t="inlineStr">
        <is>
          <t>네이버</t>
        </is>
      </c>
      <c r="H483" s="16" t="n">
        <v>45195</v>
      </c>
      <c r="I483" t="inlineStr">
        <is>
          <t>MO</t>
        </is>
      </c>
      <c r="J483" t="inlineStr">
        <is>
          <t>00.브랜드검색PCMO</t>
        </is>
      </c>
      <c r="K483" t="inlineStr">
        <is>
          <t>01.MO브랜드검색</t>
        </is>
      </c>
      <c r="M483" t="n">
        <v>0</v>
      </c>
      <c r="N483" t="n">
        <v>0</v>
      </c>
      <c r="O483" t="n">
        <v>51333.33333333334</v>
      </c>
      <c r="P483" t="n">
        <v>0</v>
      </c>
      <c r="Q483" t="n">
        <v>0</v>
      </c>
      <c r="R483" t="n">
        <v>0</v>
      </c>
      <c r="S483" t="n">
        <v>0</v>
      </c>
      <c r="T483" t="inlineStr">
        <is>
          <t>BSA</t>
        </is>
      </c>
      <c r="U483" t="inlineStr">
        <is>
          <t>BSA</t>
        </is>
      </c>
    </row>
    <row r="484">
      <c r="C484" t="inlineStr">
        <is>
          <t>BSA</t>
        </is>
      </c>
      <c r="D484" t="inlineStr">
        <is>
          <t>BSA</t>
        </is>
      </c>
      <c r="E484" t="inlineStr">
        <is>
          <t>당월</t>
        </is>
      </c>
      <c r="F484" t="inlineStr">
        <is>
          <t>9월 5주차</t>
        </is>
      </c>
      <c r="G484" t="inlineStr">
        <is>
          <t>네이버</t>
        </is>
      </c>
      <c r="H484" s="16" t="n">
        <v>45196</v>
      </c>
      <c r="I484" t="inlineStr">
        <is>
          <t>PC</t>
        </is>
      </c>
      <c r="J484" t="inlineStr">
        <is>
          <t>00.브랜드검색PCMO</t>
        </is>
      </c>
      <c r="K484" t="inlineStr">
        <is>
          <t>01.PC브랜드검색</t>
        </is>
      </c>
      <c r="M484" t="n">
        <v>0</v>
      </c>
      <c r="N484" t="n">
        <v>0</v>
      </c>
      <c r="O484" t="n">
        <v>36666.66666666666</v>
      </c>
      <c r="P484" t="n">
        <v>0</v>
      </c>
      <c r="Q484" t="n">
        <v>0</v>
      </c>
      <c r="R484" t="n">
        <v>0</v>
      </c>
      <c r="S484" t="n">
        <v>0</v>
      </c>
      <c r="T484" t="inlineStr">
        <is>
          <t>BSA</t>
        </is>
      </c>
      <c r="U484" t="inlineStr">
        <is>
          <t>BSA</t>
        </is>
      </c>
    </row>
    <row r="485">
      <c r="C485" t="inlineStr">
        <is>
          <t>BSA</t>
        </is>
      </c>
      <c r="D485" t="inlineStr">
        <is>
          <t>BSA</t>
        </is>
      </c>
      <c r="E485" t="inlineStr">
        <is>
          <t>당월</t>
        </is>
      </c>
      <c r="F485" t="inlineStr">
        <is>
          <t>9월 5주차</t>
        </is>
      </c>
      <c r="G485" t="inlineStr">
        <is>
          <t>네이버</t>
        </is>
      </c>
      <c r="H485" s="16" t="n">
        <v>45196</v>
      </c>
      <c r="I485" t="inlineStr">
        <is>
          <t>MO</t>
        </is>
      </c>
      <c r="J485" t="inlineStr">
        <is>
          <t>00.브랜드검색PCMO</t>
        </is>
      </c>
      <c r="K485" t="inlineStr">
        <is>
          <t>01.MO브랜드검색</t>
        </is>
      </c>
      <c r="M485" t="n">
        <v>0</v>
      </c>
      <c r="N485" t="n">
        <v>0</v>
      </c>
      <c r="O485" t="n">
        <v>51333.33333333334</v>
      </c>
      <c r="P485" t="n">
        <v>0</v>
      </c>
      <c r="Q485" t="n">
        <v>0</v>
      </c>
      <c r="R485" t="n">
        <v>0</v>
      </c>
      <c r="S485" t="n">
        <v>0</v>
      </c>
      <c r="T485" t="inlineStr">
        <is>
          <t>BSA</t>
        </is>
      </c>
      <c r="U485" t="inlineStr">
        <is>
          <t>BSA</t>
        </is>
      </c>
    </row>
    <row r="486">
      <c r="C486" t="inlineStr">
        <is>
          <t>BSA</t>
        </is>
      </c>
      <c r="D486" t="inlineStr">
        <is>
          <t>BSA</t>
        </is>
      </c>
      <c r="E486" t="inlineStr">
        <is>
          <t>당월</t>
        </is>
      </c>
      <c r="F486" t="inlineStr">
        <is>
          <t>9월 5주차</t>
        </is>
      </c>
      <c r="G486" t="inlineStr">
        <is>
          <t>네이버</t>
        </is>
      </c>
      <c r="H486" s="16" t="n">
        <v>45197</v>
      </c>
      <c r="I486" t="inlineStr">
        <is>
          <t>PC</t>
        </is>
      </c>
      <c r="J486" t="inlineStr">
        <is>
          <t>00.브랜드검색PCMO</t>
        </is>
      </c>
      <c r="K486" t="inlineStr">
        <is>
          <t>01.PC브랜드검색</t>
        </is>
      </c>
      <c r="M486" t="n">
        <v>0</v>
      </c>
      <c r="N486" t="n">
        <v>0</v>
      </c>
      <c r="O486" t="n">
        <v>36666.66666666666</v>
      </c>
      <c r="P486" t="n">
        <v>0</v>
      </c>
      <c r="Q486" t="n">
        <v>0</v>
      </c>
      <c r="R486" t="n">
        <v>0</v>
      </c>
      <c r="S486" t="n">
        <v>0</v>
      </c>
      <c r="T486" t="inlineStr">
        <is>
          <t>BSA</t>
        </is>
      </c>
      <c r="U486" t="inlineStr">
        <is>
          <t>BSA</t>
        </is>
      </c>
    </row>
    <row r="487">
      <c r="C487" t="inlineStr">
        <is>
          <t>BSA</t>
        </is>
      </c>
      <c r="D487" t="inlineStr">
        <is>
          <t>BSA</t>
        </is>
      </c>
      <c r="E487" t="inlineStr">
        <is>
          <t>당월</t>
        </is>
      </c>
      <c r="F487" t="inlineStr">
        <is>
          <t>9월 5주차</t>
        </is>
      </c>
      <c r="G487" t="inlineStr">
        <is>
          <t>네이버</t>
        </is>
      </c>
      <c r="H487" s="16" t="n">
        <v>45197</v>
      </c>
      <c r="I487" t="inlineStr">
        <is>
          <t>MO</t>
        </is>
      </c>
      <c r="J487" t="inlineStr">
        <is>
          <t>00.브랜드검색PCMO</t>
        </is>
      </c>
      <c r="K487" t="inlineStr">
        <is>
          <t>01.MO브랜드검색</t>
        </is>
      </c>
      <c r="M487" t="n">
        <v>0</v>
      </c>
      <c r="N487" t="n">
        <v>0</v>
      </c>
      <c r="O487" t="n">
        <v>51333.33333333334</v>
      </c>
      <c r="P487" t="n">
        <v>0</v>
      </c>
      <c r="Q487" t="n">
        <v>0</v>
      </c>
      <c r="R487" t="n">
        <v>0</v>
      </c>
      <c r="S487" t="n">
        <v>0</v>
      </c>
      <c r="T487" t="inlineStr">
        <is>
          <t>BSA</t>
        </is>
      </c>
      <c r="U487" t="inlineStr">
        <is>
          <t>BSA</t>
        </is>
      </c>
    </row>
    <row r="488">
      <c r="C488" t="inlineStr">
        <is>
          <t>BSA</t>
        </is>
      </c>
      <c r="D488" t="inlineStr">
        <is>
          <t>BSA</t>
        </is>
      </c>
      <c r="E488" t="inlineStr">
        <is>
          <t>당월</t>
        </is>
      </c>
      <c r="F488" t="inlineStr">
        <is>
          <t>9월 5주차</t>
        </is>
      </c>
      <c r="G488" t="inlineStr">
        <is>
          <t>네이버</t>
        </is>
      </c>
      <c r="H488" s="16" t="n">
        <v>45198</v>
      </c>
      <c r="I488" t="inlineStr">
        <is>
          <t>PC</t>
        </is>
      </c>
      <c r="J488" t="inlineStr">
        <is>
          <t>00.브랜드검색PCMO</t>
        </is>
      </c>
      <c r="K488" t="inlineStr">
        <is>
          <t>01.PC브랜드검색</t>
        </is>
      </c>
      <c r="M488" t="n">
        <v>0</v>
      </c>
      <c r="N488" t="n">
        <v>0</v>
      </c>
      <c r="O488" t="n">
        <v>36666.66666666666</v>
      </c>
      <c r="P488" t="n">
        <v>0</v>
      </c>
      <c r="Q488" t="n">
        <v>0</v>
      </c>
      <c r="R488" t="n">
        <v>0</v>
      </c>
      <c r="S488" t="n">
        <v>0</v>
      </c>
      <c r="T488" t="inlineStr">
        <is>
          <t>BSA</t>
        </is>
      </c>
      <c r="U488" t="inlineStr">
        <is>
          <t>BSA</t>
        </is>
      </c>
    </row>
    <row r="489">
      <c r="C489" t="inlineStr">
        <is>
          <t>BSA</t>
        </is>
      </c>
      <c r="D489" t="inlineStr">
        <is>
          <t>BSA</t>
        </is>
      </c>
      <c r="E489" t="inlineStr">
        <is>
          <t>당월</t>
        </is>
      </c>
      <c r="F489" t="inlineStr">
        <is>
          <t>9월 5주차</t>
        </is>
      </c>
      <c r="G489" t="inlineStr">
        <is>
          <t>네이버</t>
        </is>
      </c>
      <c r="H489" s="16" t="n">
        <v>45198</v>
      </c>
      <c r="I489" t="inlineStr">
        <is>
          <t>MO</t>
        </is>
      </c>
      <c r="J489" t="inlineStr">
        <is>
          <t>00.브랜드검색PCMO</t>
        </is>
      </c>
      <c r="K489" t="inlineStr">
        <is>
          <t>01.MO브랜드검색</t>
        </is>
      </c>
      <c r="M489" t="n">
        <v>0</v>
      </c>
      <c r="N489" t="n">
        <v>0</v>
      </c>
      <c r="O489" t="n">
        <v>51333.33333333334</v>
      </c>
      <c r="P489" t="n">
        <v>0</v>
      </c>
      <c r="Q489" t="n">
        <v>0</v>
      </c>
      <c r="R489" t="n">
        <v>0</v>
      </c>
      <c r="S489" t="n">
        <v>0</v>
      </c>
      <c r="T489" t="inlineStr">
        <is>
          <t>BSA</t>
        </is>
      </c>
      <c r="U489" t="inlineStr">
        <is>
          <t>BSA</t>
        </is>
      </c>
    </row>
    <row r="490">
      <c r="C490" t="inlineStr">
        <is>
          <t>BSA</t>
        </is>
      </c>
      <c r="D490" t="inlineStr">
        <is>
          <t>BSA</t>
        </is>
      </c>
      <c r="E490" t="inlineStr">
        <is>
          <t>당월</t>
        </is>
      </c>
      <c r="F490" t="inlineStr">
        <is>
          <t>9월 5주차</t>
        </is>
      </c>
      <c r="G490" t="inlineStr">
        <is>
          <t>네이버</t>
        </is>
      </c>
      <c r="H490" s="16" t="n">
        <v>45199</v>
      </c>
      <c r="I490" t="inlineStr">
        <is>
          <t>PC</t>
        </is>
      </c>
      <c r="J490" t="inlineStr">
        <is>
          <t>00.브랜드검색PCMO</t>
        </is>
      </c>
      <c r="K490" t="inlineStr">
        <is>
          <t>01.PC브랜드검색</t>
        </is>
      </c>
      <c r="M490" t="n">
        <v>0</v>
      </c>
      <c r="N490" t="n">
        <v>0</v>
      </c>
      <c r="O490" t="n">
        <v>36666.66666666666</v>
      </c>
      <c r="P490" t="n">
        <v>0</v>
      </c>
      <c r="Q490" t="n">
        <v>0</v>
      </c>
      <c r="R490" t="n">
        <v>0</v>
      </c>
      <c r="S490" t="n">
        <v>0</v>
      </c>
      <c r="T490" t="inlineStr">
        <is>
          <t>BSA</t>
        </is>
      </c>
      <c r="U490" t="inlineStr">
        <is>
          <t>BSA</t>
        </is>
      </c>
    </row>
    <row r="491">
      <c r="C491" t="inlineStr">
        <is>
          <t>BSA</t>
        </is>
      </c>
      <c r="D491" t="inlineStr">
        <is>
          <t>BSA</t>
        </is>
      </c>
      <c r="E491" t="inlineStr">
        <is>
          <t>당월</t>
        </is>
      </c>
      <c r="F491" t="inlineStr">
        <is>
          <t>9월 5주차</t>
        </is>
      </c>
      <c r="G491" t="inlineStr">
        <is>
          <t>네이버</t>
        </is>
      </c>
      <c r="H491" s="16" t="n">
        <v>45199</v>
      </c>
      <c r="I491" t="inlineStr">
        <is>
          <t>MO</t>
        </is>
      </c>
      <c r="J491" t="inlineStr">
        <is>
          <t>00.브랜드검색PCMO</t>
        </is>
      </c>
      <c r="K491" t="inlineStr">
        <is>
          <t>01.MO브랜드검색</t>
        </is>
      </c>
      <c r="M491" t="n">
        <v>0</v>
      </c>
      <c r="N491" t="n">
        <v>0</v>
      </c>
      <c r="O491" t="n">
        <v>51333.33333333334</v>
      </c>
      <c r="P491" t="n">
        <v>0</v>
      </c>
      <c r="Q491" t="n">
        <v>0</v>
      </c>
      <c r="R491" t="n">
        <v>0</v>
      </c>
      <c r="S491" t="n">
        <v>0</v>
      </c>
      <c r="T491" t="inlineStr">
        <is>
          <t>BSA</t>
        </is>
      </c>
      <c r="U491" t="inlineStr">
        <is>
          <t>BSA</t>
        </is>
      </c>
    </row>
    <row r="492">
      <c r="C492" t="inlineStr">
        <is>
          <t>BSA</t>
        </is>
      </c>
      <c r="D492" t="inlineStr">
        <is>
          <t>BSA</t>
        </is>
      </c>
      <c r="E492" t="inlineStr">
        <is>
          <t>당월</t>
        </is>
      </c>
      <c r="F492" t="inlineStr">
        <is>
          <t>9월 5주차</t>
        </is>
      </c>
      <c r="G492" t="inlineStr">
        <is>
          <t>네이버</t>
        </is>
      </c>
      <c r="H492" s="16" t="n">
        <v>45200</v>
      </c>
      <c r="I492" t="inlineStr">
        <is>
          <t>PC</t>
        </is>
      </c>
      <c r="J492" t="inlineStr">
        <is>
          <t>00.브랜드검색PCMO</t>
        </is>
      </c>
      <c r="K492" t="inlineStr">
        <is>
          <t>01.PC브랜드검색</t>
        </is>
      </c>
      <c r="M492" t="n">
        <v>0</v>
      </c>
      <c r="N492" t="n">
        <v>0</v>
      </c>
      <c r="O492" t="n">
        <v>36666.66666666666</v>
      </c>
      <c r="P492" t="n">
        <v>0</v>
      </c>
      <c r="Q492" t="n">
        <v>0</v>
      </c>
      <c r="R492" t="n">
        <v>0</v>
      </c>
      <c r="S492" t="n">
        <v>0</v>
      </c>
      <c r="T492" t="inlineStr">
        <is>
          <t>BSA</t>
        </is>
      </c>
      <c r="U492" t="inlineStr">
        <is>
          <t>BSA</t>
        </is>
      </c>
    </row>
    <row r="493">
      <c r="C493" t="inlineStr">
        <is>
          <t>BSA</t>
        </is>
      </c>
      <c r="D493" t="inlineStr">
        <is>
          <t>BSA</t>
        </is>
      </c>
      <c r="E493" t="inlineStr">
        <is>
          <t>당월</t>
        </is>
      </c>
      <c r="F493" t="inlineStr">
        <is>
          <t>9월 5주차</t>
        </is>
      </c>
      <c r="G493" t="inlineStr">
        <is>
          <t>네이버</t>
        </is>
      </c>
      <c r="H493" s="16" t="n">
        <v>45200</v>
      </c>
      <c r="I493" t="inlineStr">
        <is>
          <t>MO</t>
        </is>
      </c>
      <c r="J493" t="inlineStr">
        <is>
          <t>00.브랜드검색PCMO</t>
        </is>
      </c>
      <c r="K493" t="inlineStr">
        <is>
          <t>01.MO브랜드검색</t>
        </is>
      </c>
      <c r="M493" t="n">
        <v>0</v>
      </c>
      <c r="N493" t="n">
        <v>0</v>
      </c>
      <c r="O493" t="n">
        <v>51333.33333333334</v>
      </c>
      <c r="P493" t="n">
        <v>0</v>
      </c>
      <c r="Q493" t="n">
        <v>0</v>
      </c>
      <c r="R493" t="n">
        <v>0</v>
      </c>
      <c r="S493" t="n">
        <v>0</v>
      </c>
      <c r="T493" t="inlineStr">
        <is>
          <t>BSA</t>
        </is>
      </c>
      <c r="U493" t="inlineStr">
        <is>
          <t>BSA</t>
        </is>
      </c>
    </row>
    <row r="494">
      <c r="C494" t="inlineStr">
        <is>
          <t>BSA</t>
        </is>
      </c>
      <c r="D494" t="inlineStr">
        <is>
          <t>BSA</t>
        </is>
      </c>
      <c r="E494" t="inlineStr">
        <is>
          <t>당월</t>
        </is>
      </c>
      <c r="F494" t="inlineStr">
        <is>
          <t>9월 5주차</t>
        </is>
      </c>
      <c r="G494" t="inlineStr">
        <is>
          <t>네이버</t>
        </is>
      </c>
      <c r="H494" s="16" t="n">
        <v>45201</v>
      </c>
      <c r="I494" t="inlineStr">
        <is>
          <t>PC</t>
        </is>
      </c>
      <c r="J494" t="inlineStr">
        <is>
          <t>00.브랜드검색PCMO</t>
        </is>
      </c>
      <c r="K494" t="inlineStr">
        <is>
          <t>01.PC브랜드검색</t>
        </is>
      </c>
      <c r="M494" t="n">
        <v>0</v>
      </c>
      <c r="N494" t="n">
        <v>0</v>
      </c>
      <c r="O494" t="n">
        <v>36666.66666666666</v>
      </c>
      <c r="P494" t="n">
        <v>0</v>
      </c>
      <c r="Q494" t="n">
        <v>0</v>
      </c>
      <c r="R494" t="n">
        <v>0</v>
      </c>
      <c r="S494" t="n">
        <v>0</v>
      </c>
      <c r="T494" t="inlineStr">
        <is>
          <t>BSA</t>
        </is>
      </c>
      <c r="U494" t="inlineStr">
        <is>
          <t>BSA</t>
        </is>
      </c>
    </row>
    <row r="495">
      <c r="C495" t="inlineStr">
        <is>
          <t>BSA</t>
        </is>
      </c>
      <c r="D495" t="inlineStr">
        <is>
          <t>BSA</t>
        </is>
      </c>
      <c r="E495" t="inlineStr">
        <is>
          <t>당월</t>
        </is>
      </c>
      <c r="F495" t="inlineStr">
        <is>
          <t>9월 5주차</t>
        </is>
      </c>
      <c r="G495" t="inlineStr">
        <is>
          <t>네이버</t>
        </is>
      </c>
      <c r="H495" s="16" t="n">
        <v>45201</v>
      </c>
      <c r="I495" t="inlineStr">
        <is>
          <t>MO</t>
        </is>
      </c>
      <c r="J495" t="inlineStr">
        <is>
          <t>00.브랜드검색PCMO</t>
        </is>
      </c>
      <c r="K495" t="inlineStr">
        <is>
          <t>01.MO브랜드검색</t>
        </is>
      </c>
      <c r="M495" t="n">
        <v>0</v>
      </c>
      <c r="N495" t="n">
        <v>0</v>
      </c>
      <c r="O495" t="n">
        <v>51333.33333333334</v>
      </c>
      <c r="P495" t="n">
        <v>0</v>
      </c>
      <c r="Q495" t="n">
        <v>0</v>
      </c>
      <c r="R495" t="n">
        <v>0</v>
      </c>
      <c r="S495" t="n">
        <v>0</v>
      </c>
      <c r="T495" t="inlineStr">
        <is>
          <t>BSA</t>
        </is>
      </c>
      <c r="U495" t="inlineStr">
        <is>
          <t>BSA</t>
        </is>
      </c>
    </row>
    <row r="496">
      <c r="C496" t="inlineStr">
        <is>
          <t>BSA</t>
        </is>
      </c>
      <c r="D496" t="inlineStr">
        <is>
          <t>BSA</t>
        </is>
      </c>
      <c r="E496" t="inlineStr">
        <is>
          <t>당월</t>
        </is>
      </c>
      <c r="F496" t="inlineStr">
        <is>
          <t>9월 5주차</t>
        </is>
      </c>
      <c r="G496" t="inlineStr">
        <is>
          <t>네이버</t>
        </is>
      </c>
      <c r="H496" s="16" t="n">
        <v>45202</v>
      </c>
      <c r="I496" t="inlineStr">
        <is>
          <t>PC</t>
        </is>
      </c>
      <c r="J496" t="inlineStr">
        <is>
          <t>00.브랜드검색PCMO</t>
        </is>
      </c>
      <c r="K496" t="inlineStr">
        <is>
          <t>01.PC브랜드검색</t>
        </is>
      </c>
      <c r="M496" t="n">
        <v>0</v>
      </c>
      <c r="N496" t="n">
        <v>0</v>
      </c>
      <c r="O496" t="n">
        <v>36666.66666666666</v>
      </c>
      <c r="P496" t="n">
        <v>0</v>
      </c>
      <c r="Q496" t="n">
        <v>0</v>
      </c>
      <c r="R496" t="n">
        <v>0</v>
      </c>
      <c r="S496" t="n">
        <v>0</v>
      </c>
      <c r="T496" t="inlineStr">
        <is>
          <t>BSA</t>
        </is>
      </c>
      <c r="U496" t="inlineStr">
        <is>
          <t>BSA</t>
        </is>
      </c>
    </row>
    <row r="497">
      <c r="C497" t="inlineStr">
        <is>
          <t>BSA</t>
        </is>
      </c>
      <c r="D497" t="inlineStr">
        <is>
          <t>BSA</t>
        </is>
      </c>
      <c r="E497" t="inlineStr">
        <is>
          <t>당월</t>
        </is>
      </c>
      <c r="F497" t="inlineStr">
        <is>
          <t>9월 5주차</t>
        </is>
      </c>
      <c r="G497" t="inlineStr">
        <is>
          <t>네이버</t>
        </is>
      </c>
      <c r="H497" s="16" t="n">
        <v>45202</v>
      </c>
      <c r="I497" t="inlineStr">
        <is>
          <t>MO</t>
        </is>
      </c>
      <c r="J497" t="inlineStr">
        <is>
          <t>00.브랜드검색PCMO</t>
        </is>
      </c>
      <c r="K497" t="inlineStr">
        <is>
          <t>01.MO브랜드검색</t>
        </is>
      </c>
      <c r="M497" t="n">
        <v>0</v>
      </c>
      <c r="N497" t="n">
        <v>0</v>
      </c>
      <c r="O497" t="n">
        <v>51333.33333333334</v>
      </c>
      <c r="P497" t="n">
        <v>0</v>
      </c>
      <c r="Q497" t="n">
        <v>0</v>
      </c>
      <c r="R497" t="n">
        <v>0</v>
      </c>
      <c r="S497" t="n">
        <v>0</v>
      </c>
      <c r="T497" t="inlineStr">
        <is>
          <t>BSA</t>
        </is>
      </c>
      <c r="U497" t="inlineStr">
        <is>
          <t>BSA</t>
        </is>
      </c>
    </row>
    <row r="501">
      <c r="H501" s="16" t="n">
        <v>45200</v>
      </c>
    </row>
    <row r="502">
      <c r="H502" s="16" t="n">
        <v>45201</v>
      </c>
    </row>
    <row r="503">
      <c r="H503" s="16" t="n">
        <v>45202</v>
      </c>
    </row>
    <row r="504">
      <c r="H504" s="16" t="n">
        <v>45203</v>
      </c>
    </row>
    <row r="505">
      <c r="H505" s="16" t="n">
        <v>45204</v>
      </c>
    </row>
    <row r="506">
      <c r="H506" s="16" t="n">
        <v>45205</v>
      </c>
    </row>
    <row r="507">
      <c r="H507" s="16" t="n">
        <v>45206</v>
      </c>
    </row>
    <row r="508">
      <c r="H508" s="16" t="n">
        <v>45207</v>
      </c>
    </row>
    <row r="509">
      <c r="H509" s="16" t="n">
        <v>45208</v>
      </c>
    </row>
    <row r="510">
      <c r="H510" s="16" t="n">
        <v>45209</v>
      </c>
    </row>
    <row r="511">
      <c r="H511" s="16" t="n">
        <v>45210</v>
      </c>
    </row>
    <row r="517">
      <c r="C517" t="inlineStr">
        <is>
          <t>BSA</t>
        </is>
      </c>
      <c r="D517" t="inlineStr">
        <is>
          <t>BSA</t>
        </is>
      </c>
      <c r="E517" t="inlineStr">
        <is>
          <t>당월</t>
        </is>
      </c>
      <c r="F517" t="inlineStr">
        <is>
          <t>10월 1주차</t>
        </is>
      </c>
      <c r="G517" t="inlineStr">
        <is>
          <t>네이버</t>
        </is>
      </c>
      <c r="H517" s="16" t="n">
        <v>45200</v>
      </c>
      <c r="I517" t="inlineStr">
        <is>
          <t>PC</t>
        </is>
      </c>
      <c r="J517" t="inlineStr">
        <is>
          <t>00.브랜드검색PCMO</t>
        </is>
      </c>
      <c r="K517" t="inlineStr">
        <is>
          <t>01.PC브랜드검색</t>
        </is>
      </c>
      <c r="M517" t="n">
        <v>0</v>
      </c>
      <c r="N517" t="n">
        <v>0</v>
      </c>
      <c r="O517" t="n">
        <v>36666.66666666666</v>
      </c>
      <c r="P517" t="n">
        <v>0</v>
      </c>
      <c r="Q517" t="n">
        <v>0</v>
      </c>
      <c r="R517" t="n">
        <v>0</v>
      </c>
      <c r="S517" t="n">
        <v>0</v>
      </c>
      <c r="T517" t="inlineStr">
        <is>
          <t>BSA</t>
        </is>
      </c>
      <c r="U517" t="inlineStr">
        <is>
          <t>BSA</t>
        </is>
      </c>
    </row>
    <row r="518">
      <c r="C518" t="inlineStr">
        <is>
          <t>BSA</t>
        </is>
      </c>
      <c r="D518" t="inlineStr">
        <is>
          <t>BSA</t>
        </is>
      </c>
      <c r="E518" t="inlineStr">
        <is>
          <t>당월</t>
        </is>
      </c>
      <c r="F518" t="inlineStr">
        <is>
          <t>10월 1주차</t>
        </is>
      </c>
      <c r="G518" t="inlineStr">
        <is>
          <t>네이버</t>
        </is>
      </c>
      <c r="H518" s="16" t="n">
        <v>45200</v>
      </c>
      <c r="I518" t="inlineStr">
        <is>
          <t>MO</t>
        </is>
      </c>
      <c r="J518" t="inlineStr">
        <is>
          <t>00.브랜드검색PCMO</t>
        </is>
      </c>
      <c r="K518" t="inlineStr">
        <is>
          <t>01.MO브랜드검색</t>
        </is>
      </c>
      <c r="M518" t="n">
        <v>0</v>
      </c>
      <c r="N518" t="n">
        <v>0</v>
      </c>
      <c r="O518" t="n">
        <v>51333.33333333334</v>
      </c>
      <c r="P518" t="n">
        <v>0</v>
      </c>
      <c r="Q518" t="n">
        <v>0</v>
      </c>
      <c r="R518" t="n">
        <v>0</v>
      </c>
      <c r="S518" t="n">
        <v>0</v>
      </c>
      <c r="T518" t="inlineStr">
        <is>
          <t>BSA</t>
        </is>
      </c>
      <c r="U518" t="inlineStr">
        <is>
          <t>BSA</t>
        </is>
      </c>
    </row>
    <row r="519">
      <c r="C519" t="inlineStr">
        <is>
          <t>BSA</t>
        </is>
      </c>
      <c r="D519" t="inlineStr">
        <is>
          <t>BSA</t>
        </is>
      </c>
      <c r="E519" t="inlineStr">
        <is>
          <t>당월</t>
        </is>
      </c>
      <c r="F519" t="inlineStr">
        <is>
          <t>10월 1주차</t>
        </is>
      </c>
      <c r="G519" t="inlineStr">
        <is>
          <t>네이버</t>
        </is>
      </c>
      <c r="H519" s="16" t="n">
        <v>45201</v>
      </c>
      <c r="I519" t="inlineStr">
        <is>
          <t>PC</t>
        </is>
      </c>
      <c r="J519" t="inlineStr">
        <is>
          <t>00.브랜드검색PCMO</t>
        </is>
      </c>
      <c r="K519" t="inlineStr">
        <is>
          <t>01.PC브랜드검색</t>
        </is>
      </c>
      <c r="M519" t="n">
        <v>0</v>
      </c>
      <c r="N519" t="n">
        <v>0</v>
      </c>
      <c r="O519" t="n">
        <v>36666.66666666666</v>
      </c>
      <c r="P519" t="n">
        <v>0</v>
      </c>
      <c r="Q519" t="n">
        <v>0</v>
      </c>
      <c r="R519" t="n">
        <v>0</v>
      </c>
      <c r="S519" t="n">
        <v>0</v>
      </c>
      <c r="T519" t="inlineStr">
        <is>
          <t>BSA</t>
        </is>
      </c>
      <c r="U519" t="inlineStr">
        <is>
          <t>BSA</t>
        </is>
      </c>
    </row>
    <row r="520">
      <c r="C520" t="inlineStr">
        <is>
          <t>BSA</t>
        </is>
      </c>
      <c r="D520" t="inlineStr">
        <is>
          <t>BSA</t>
        </is>
      </c>
      <c r="E520" t="inlineStr">
        <is>
          <t>당월</t>
        </is>
      </c>
      <c r="F520" t="inlineStr">
        <is>
          <t>10월 1주차</t>
        </is>
      </c>
      <c r="G520" t="inlineStr">
        <is>
          <t>네이버</t>
        </is>
      </c>
      <c r="H520" s="16" t="n">
        <v>45201</v>
      </c>
      <c r="I520" t="inlineStr">
        <is>
          <t>MO</t>
        </is>
      </c>
      <c r="J520" t="inlineStr">
        <is>
          <t>00.브랜드검색PCMO</t>
        </is>
      </c>
      <c r="K520" t="inlineStr">
        <is>
          <t>01.MO브랜드검색</t>
        </is>
      </c>
      <c r="M520" t="n">
        <v>0</v>
      </c>
      <c r="N520" t="n">
        <v>0</v>
      </c>
      <c r="O520" t="n">
        <v>51333.33333333334</v>
      </c>
      <c r="P520" t="n">
        <v>0</v>
      </c>
      <c r="Q520" t="n">
        <v>0</v>
      </c>
      <c r="R520" t="n">
        <v>0</v>
      </c>
      <c r="S520" t="n">
        <v>0</v>
      </c>
      <c r="T520" t="inlineStr">
        <is>
          <t>BSA</t>
        </is>
      </c>
      <c r="U520" t="inlineStr">
        <is>
          <t>BSA</t>
        </is>
      </c>
    </row>
    <row r="521">
      <c r="C521" t="inlineStr">
        <is>
          <t>BSA</t>
        </is>
      </c>
      <c r="D521" t="inlineStr">
        <is>
          <t>BSA</t>
        </is>
      </c>
      <c r="E521" t="inlineStr">
        <is>
          <t>당월</t>
        </is>
      </c>
      <c r="F521" t="inlineStr">
        <is>
          <t>10월 1주차</t>
        </is>
      </c>
      <c r="G521" t="inlineStr">
        <is>
          <t>네이버</t>
        </is>
      </c>
      <c r="H521" s="16" t="n">
        <v>45202</v>
      </c>
      <c r="I521" t="inlineStr">
        <is>
          <t>PC</t>
        </is>
      </c>
      <c r="J521" t="inlineStr">
        <is>
          <t>00.브랜드검색PCMO</t>
        </is>
      </c>
      <c r="K521" t="inlineStr">
        <is>
          <t>01.PC브랜드검색</t>
        </is>
      </c>
      <c r="M521" t="n">
        <v>0</v>
      </c>
      <c r="N521" t="n">
        <v>0</v>
      </c>
      <c r="O521" t="n">
        <v>36666.66666666666</v>
      </c>
      <c r="P521" t="n">
        <v>0</v>
      </c>
      <c r="Q521" t="n">
        <v>0</v>
      </c>
      <c r="R521" t="n">
        <v>0</v>
      </c>
      <c r="S521" t="n">
        <v>0</v>
      </c>
      <c r="T521" t="inlineStr">
        <is>
          <t>BSA</t>
        </is>
      </c>
      <c r="U521" t="inlineStr">
        <is>
          <t>BSA</t>
        </is>
      </c>
    </row>
    <row r="522">
      <c r="C522" t="inlineStr">
        <is>
          <t>BSA</t>
        </is>
      </c>
      <c r="D522" t="inlineStr">
        <is>
          <t>BSA</t>
        </is>
      </c>
      <c r="E522" t="inlineStr">
        <is>
          <t>당월</t>
        </is>
      </c>
      <c r="F522" t="inlineStr">
        <is>
          <t>10월 1주차</t>
        </is>
      </c>
      <c r="G522" t="inlineStr">
        <is>
          <t>네이버</t>
        </is>
      </c>
      <c r="H522" s="16" t="n">
        <v>45202</v>
      </c>
      <c r="I522" t="inlineStr">
        <is>
          <t>MO</t>
        </is>
      </c>
      <c r="J522" t="inlineStr">
        <is>
          <t>00.브랜드검색PCMO</t>
        </is>
      </c>
      <c r="K522" t="inlineStr">
        <is>
          <t>01.MO브랜드검색</t>
        </is>
      </c>
      <c r="M522" t="n">
        <v>0</v>
      </c>
      <c r="N522" t="n">
        <v>0</v>
      </c>
      <c r="O522" t="n">
        <v>51333.33333333334</v>
      </c>
      <c r="P522" t="n">
        <v>0</v>
      </c>
      <c r="Q522" t="n">
        <v>0</v>
      </c>
      <c r="R522" t="n">
        <v>0</v>
      </c>
      <c r="S522" t="n">
        <v>0</v>
      </c>
      <c r="T522" t="inlineStr">
        <is>
          <t>BSA</t>
        </is>
      </c>
      <c r="U522" t="inlineStr">
        <is>
          <t>BSA</t>
        </is>
      </c>
    </row>
    <row r="523">
      <c r="C523" t="inlineStr">
        <is>
          <t>BSA</t>
        </is>
      </c>
      <c r="D523" t="inlineStr">
        <is>
          <t>BSA</t>
        </is>
      </c>
      <c r="E523" t="inlineStr">
        <is>
          <t>당월</t>
        </is>
      </c>
      <c r="F523" t="inlineStr">
        <is>
          <t>10월 1주차</t>
        </is>
      </c>
      <c r="G523" t="inlineStr">
        <is>
          <t>네이버</t>
        </is>
      </c>
      <c r="H523" s="16" t="n">
        <v>45203</v>
      </c>
      <c r="I523" t="inlineStr">
        <is>
          <t>PC</t>
        </is>
      </c>
      <c r="J523" t="inlineStr">
        <is>
          <t>00.브랜드검색PCMO</t>
        </is>
      </c>
      <c r="K523" t="inlineStr">
        <is>
          <t>01.PC브랜드검색</t>
        </is>
      </c>
      <c r="M523" t="n">
        <v>0</v>
      </c>
      <c r="N523" t="n">
        <v>0</v>
      </c>
      <c r="O523" t="n">
        <v>36666.66666666666</v>
      </c>
      <c r="P523" t="n">
        <v>0</v>
      </c>
      <c r="Q523" t="n">
        <v>0</v>
      </c>
      <c r="R523" t="n">
        <v>0</v>
      </c>
      <c r="S523" t="n">
        <v>0</v>
      </c>
      <c r="T523" t="inlineStr">
        <is>
          <t>BSA</t>
        </is>
      </c>
      <c r="U523" t="inlineStr">
        <is>
          <t>BSA</t>
        </is>
      </c>
    </row>
    <row r="524">
      <c r="C524" t="inlineStr">
        <is>
          <t>BSA</t>
        </is>
      </c>
      <c r="D524" t="inlineStr">
        <is>
          <t>BSA</t>
        </is>
      </c>
      <c r="E524" t="inlineStr">
        <is>
          <t>당월</t>
        </is>
      </c>
      <c r="F524" t="inlineStr">
        <is>
          <t>10월 1주차</t>
        </is>
      </c>
      <c r="G524" t="inlineStr">
        <is>
          <t>네이버</t>
        </is>
      </c>
      <c r="H524" s="16" t="n">
        <v>45203</v>
      </c>
      <c r="I524" t="inlineStr">
        <is>
          <t>MO</t>
        </is>
      </c>
      <c r="J524" t="inlineStr">
        <is>
          <t>00.브랜드검색PCMO</t>
        </is>
      </c>
      <c r="K524" t="inlineStr">
        <is>
          <t>01.MO브랜드검색</t>
        </is>
      </c>
      <c r="M524" t="n">
        <v>0</v>
      </c>
      <c r="N524" t="n">
        <v>0</v>
      </c>
      <c r="O524" t="n">
        <v>51333.33333333334</v>
      </c>
      <c r="P524" t="n">
        <v>0</v>
      </c>
      <c r="Q524" t="n">
        <v>0</v>
      </c>
      <c r="R524" t="n">
        <v>0</v>
      </c>
      <c r="S524" t="n">
        <v>0</v>
      </c>
      <c r="T524" t="inlineStr">
        <is>
          <t>BSA</t>
        </is>
      </c>
      <c r="U524" t="inlineStr">
        <is>
          <t>BSA</t>
        </is>
      </c>
    </row>
    <row r="525">
      <c r="C525" t="inlineStr">
        <is>
          <t>BSA</t>
        </is>
      </c>
      <c r="D525" t="inlineStr">
        <is>
          <t>BSA</t>
        </is>
      </c>
      <c r="E525" t="inlineStr">
        <is>
          <t>당월</t>
        </is>
      </c>
      <c r="F525" t="inlineStr">
        <is>
          <t>10월 1주차</t>
        </is>
      </c>
      <c r="G525" t="inlineStr">
        <is>
          <t>네이버</t>
        </is>
      </c>
      <c r="H525" s="16" t="n">
        <v>45204</v>
      </c>
      <c r="I525" t="inlineStr">
        <is>
          <t>PC</t>
        </is>
      </c>
      <c r="J525" t="inlineStr">
        <is>
          <t>00.브랜드검색PCMO</t>
        </is>
      </c>
      <c r="K525" t="inlineStr">
        <is>
          <t>01.PC브랜드검색</t>
        </is>
      </c>
      <c r="M525" t="n">
        <v>0</v>
      </c>
      <c r="N525" t="n">
        <v>0</v>
      </c>
      <c r="O525" t="n">
        <v>36666.66666666666</v>
      </c>
      <c r="P525" t="n">
        <v>0</v>
      </c>
      <c r="Q525" t="n">
        <v>0</v>
      </c>
      <c r="R525" t="n">
        <v>0</v>
      </c>
      <c r="S525" t="n">
        <v>0</v>
      </c>
      <c r="T525" t="inlineStr">
        <is>
          <t>BSA</t>
        </is>
      </c>
      <c r="U525" t="inlineStr">
        <is>
          <t>BSA</t>
        </is>
      </c>
    </row>
    <row r="526">
      <c r="C526" t="inlineStr">
        <is>
          <t>BSA</t>
        </is>
      </c>
      <c r="D526" t="inlineStr">
        <is>
          <t>BSA</t>
        </is>
      </c>
      <c r="E526" t="inlineStr">
        <is>
          <t>당월</t>
        </is>
      </c>
      <c r="F526" t="inlineStr">
        <is>
          <t>10월 1주차</t>
        </is>
      </c>
      <c r="G526" t="inlineStr">
        <is>
          <t>네이버</t>
        </is>
      </c>
      <c r="H526" s="16" t="n">
        <v>45204</v>
      </c>
      <c r="I526" t="inlineStr">
        <is>
          <t>MO</t>
        </is>
      </c>
      <c r="J526" t="inlineStr">
        <is>
          <t>00.브랜드검색PCMO</t>
        </is>
      </c>
      <c r="K526" t="inlineStr">
        <is>
          <t>01.MO브랜드검색</t>
        </is>
      </c>
      <c r="M526" t="n">
        <v>0</v>
      </c>
      <c r="N526" t="n">
        <v>0</v>
      </c>
      <c r="O526" t="n">
        <v>51333.33333333334</v>
      </c>
      <c r="P526" t="n">
        <v>0</v>
      </c>
      <c r="Q526" t="n">
        <v>0</v>
      </c>
      <c r="R526" t="n">
        <v>0</v>
      </c>
      <c r="S526" t="n">
        <v>0</v>
      </c>
      <c r="T526" t="inlineStr">
        <is>
          <t>BSA</t>
        </is>
      </c>
      <c r="U526" t="inlineStr">
        <is>
          <t>BSA</t>
        </is>
      </c>
    </row>
    <row r="527">
      <c r="C527" t="inlineStr">
        <is>
          <t>BSA</t>
        </is>
      </c>
      <c r="D527" t="inlineStr">
        <is>
          <t>BSA</t>
        </is>
      </c>
      <c r="E527" t="inlineStr">
        <is>
          <t>당월</t>
        </is>
      </c>
      <c r="F527" t="inlineStr">
        <is>
          <t>10월 1주차</t>
        </is>
      </c>
      <c r="G527" t="inlineStr">
        <is>
          <t>네이버</t>
        </is>
      </c>
      <c r="H527" s="16" t="n">
        <v>45205</v>
      </c>
      <c r="I527" t="inlineStr">
        <is>
          <t>PC</t>
        </is>
      </c>
      <c r="J527" t="inlineStr">
        <is>
          <t>00.브랜드검색PCMO</t>
        </is>
      </c>
      <c r="K527" t="inlineStr">
        <is>
          <t>01.PC브랜드검색</t>
        </is>
      </c>
      <c r="M527" t="n">
        <v>0</v>
      </c>
      <c r="N527" t="n">
        <v>0</v>
      </c>
      <c r="O527" t="n">
        <v>36666.66666666666</v>
      </c>
      <c r="P527" t="n">
        <v>0</v>
      </c>
      <c r="Q527" t="n">
        <v>0</v>
      </c>
      <c r="R527" t="n">
        <v>0</v>
      </c>
      <c r="S527" t="n">
        <v>0</v>
      </c>
      <c r="T527" t="inlineStr">
        <is>
          <t>BSA</t>
        </is>
      </c>
      <c r="U527" t="inlineStr">
        <is>
          <t>BSA</t>
        </is>
      </c>
    </row>
    <row r="528">
      <c r="C528" t="inlineStr">
        <is>
          <t>BSA</t>
        </is>
      </c>
      <c r="D528" t="inlineStr">
        <is>
          <t>BSA</t>
        </is>
      </c>
      <c r="E528" t="inlineStr">
        <is>
          <t>당월</t>
        </is>
      </c>
      <c r="F528" t="inlineStr">
        <is>
          <t>10월 1주차</t>
        </is>
      </c>
      <c r="G528" t="inlineStr">
        <is>
          <t>네이버</t>
        </is>
      </c>
      <c r="H528" s="16" t="n">
        <v>45205</v>
      </c>
      <c r="I528" t="inlineStr">
        <is>
          <t>MO</t>
        </is>
      </c>
      <c r="J528" t="inlineStr">
        <is>
          <t>00.브랜드검색PCMO</t>
        </is>
      </c>
      <c r="K528" t="inlineStr">
        <is>
          <t>01.MO브랜드검색</t>
        </is>
      </c>
      <c r="M528" t="n">
        <v>0</v>
      </c>
      <c r="N528" t="n">
        <v>0</v>
      </c>
      <c r="O528" t="n">
        <v>51333.33333333334</v>
      </c>
      <c r="P528" t="n">
        <v>0</v>
      </c>
      <c r="Q528" t="n">
        <v>0</v>
      </c>
      <c r="R528" t="n">
        <v>0</v>
      </c>
      <c r="S528" t="n">
        <v>0</v>
      </c>
      <c r="T528" t="inlineStr">
        <is>
          <t>BSA</t>
        </is>
      </c>
      <c r="U528" t="inlineStr">
        <is>
          <t>BSA</t>
        </is>
      </c>
    </row>
    <row r="529">
      <c r="C529" t="inlineStr">
        <is>
          <t>BSA</t>
        </is>
      </c>
      <c r="D529" t="inlineStr">
        <is>
          <t>BSA</t>
        </is>
      </c>
      <c r="E529" t="inlineStr">
        <is>
          <t>당월</t>
        </is>
      </c>
      <c r="F529" t="inlineStr">
        <is>
          <t>10월 1주차</t>
        </is>
      </c>
      <c r="G529" t="inlineStr">
        <is>
          <t>네이버</t>
        </is>
      </c>
      <c r="H529" s="16" t="n">
        <v>45206</v>
      </c>
      <c r="I529" t="inlineStr">
        <is>
          <t>PC</t>
        </is>
      </c>
      <c r="J529" t="inlineStr">
        <is>
          <t>00.브랜드검색PCMO</t>
        </is>
      </c>
      <c r="K529" t="inlineStr">
        <is>
          <t>01.PC브랜드검색</t>
        </is>
      </c>
      <c r="M529" t="n">
        <v>0</v>
      </c>
      <c r="N529" t="n">
        <v>0</v>
      </c>
      <c r="O529" t="n">
        <v>36666.66666666666</v>
      </c>
      <c r="P529" t="n">
        <v>0</v>
      </c>
      <c r="Q529" t="n">
        <v>0</v>
      </c>
      <c r="R529" t="n">
        <v>0</v>
      </c>
      <c r="S529" t="n">
        <v>0</v>
      </c>
      <c r="T529" t="inlineStr">
        <is>
          <t>BSA</t>
        </is>
      </c>
      <c r="U529" t="inlineStr">
        <is>
          <t>BSA</t>
        </is>
      </c>
    </row>
    <row r="530">
      <c r="C530" t="inlineStr">
        <is>
          <t>BSA</t>
        </is>
      </c>
      <c r="D530" t="inlineStr">
        <is>
          <t>BSA</t>
        </is>
      </c>
      <c r="E530" t="inlineStr">
        <is>
          <t>당월</t>
        </is>
      </c>
      <c r="F530" t="inlineStr">
        <is>
          <t>10월 1주차</t>
        </is>
      </c>
      <c r="G530" t="inlineStr">
        <is>
          <t>네이버</t>
        </is>
      </c>
      <c r="H530" s="16" t="n">
        <v>45206</v>
      </c>
      <c r="I530" t="inlineStr">
        <is>
          <t>MO</t>
        </is>
      </c>
      <c r="J530" t="inlineStr">
        <is>
          <t>00.브랜드검색PCMO</t>
        </is>
      </c>
      <c r="K530" t="inlineStr">
        <is>
          <t>01.MO브랜드검색</t>
        </is>
      </c>
      <c r="M530" t="n">
        <v>0</v>
      </c>
      <c r="N530" t="n">
        <v>0</v>
      </c>
      <c r="O530" t="n">
        <v>51333.33333333334</v>
      </c>
      <c r="P530" t="n">
        <v>0</v>
      </c>
      <c r="Q530" t="n">
        <v>0</v>
      </c>
      <c r="R530" t="n">
        <v>0</v>
      </c>
      <c r="S530" t="n">
        <v>0</v>
      </c>
      <c r="T530" t="inlineStr">
        <is>
          <t>BSA</t>
        </is>
      </c>
      <c r="U530" t="inlineStr">
        <is>
          <t>BSA</t>
        </is>
      </c>
    </row>
    <row r="531">
      <c r="C531" t="inlineStr">
        <is>
          <t>BSA</t>
        </is>
      </c>
      <c r="D531" t="inlineStr">
        <is>
          <t>BSA</t>
        </is>
      </c>
      <c r="E531" t="inlineStr">
        <is>
          <t>당월</t>
        </is>
      </c>
      <c r="F531" t="inlineStr">
        <is>
          <t>10월 1주차</t>
        </is>
      </c>
      <c r="G531" t="inlineStr">
        <is>
          <t>네이버</t>
        </is>
      </c>
      <c r="H531" s="16" t="n">
        <v>45207</v>
      </c>
      <c r="I531" t="inlineStr">
        <is>
          <t>PC</t>
        </is>
      </c>
      <c r="J531" t="inlineStr">
        <is>
          <t>00.브랜드검색PCMO</t>
        </is>
      </c>
      <c r="K531" t="inlineStr">
        <is>
          <t>01.PC브랜드검색</t>
        </is>
      </c>
      <c r="M531" t="n">
        <v>0</v>
      </c>
      <c r="N531" t="n">
        <v>0</v>
      </c>
      <c r="O531" t="n">
        <v>36666.66666666666</v>
      </c>
      <c r="P531" t="n">
        <v>0</v>
      </c>
      <c r="Q531" t="n">
        <v>0</v>
      </c>
      <c r="R531" t="n">
        <v>0</v>
      </c>
      <c r="S531" t="n">
        <v>0</v>
      </c>
      <c r="T531" t="inlineStr">
        <is>
          <t>BSA</t>
        </is>
      </c>
      <c r="U531" t="inlineStr">
        <is>
          <t>BSA</t>
        </is>
      </c>
    </row>
    <row r="532">
      <c r="C532" t="inlineStr">
        <is>
          <t>BSA</t>
        </is>
      </c>
      <c r="D532" t="inlineStr">
        <is>
          <t>BSA</t>
        </is>
      </c>
      <c r="E532" t="inlineStr">
        <is>
          <t>당월</t>
        </is>
      </c>
      <c r="F532" t="inlineStr">
        <is>
          <t>10월 1주차</t>
        </is>
      </c>
      <c r="G532" t="inlineStr">
        <is>
          <t>네이버</t>
        </is>
      </c>
      <c r="H532" s="16" t="n">
        <v>45207</v>
      </c>
      <c r="I532" t="inlineStr">
        <is>
          <t>MO</t>
        </is>
      </c>
      <c r="J532" t="inlineStr">
        <is>
          <t>00.브랜드검색PCMO</t>
        </is>
      </c>
      <c r="K532" t="inlineStr">
        <is>
          <t>01.MO브랜드검색</t>
        </is>
      </c>
      <c r="M532" t="n">
        <v>0</v>
      </c>
      <c r="N532" t="n">
        <v>0</v>
      </c>
      <c r="O532" t="n">
        <v>51333.33333333334</v>
      </c>
      <c r="P532" t="n">
        <v>0</v>
      </c>
      <c r="Q532" t="n">
        <v>0</v>
      </c>
      <c r="R532" t="n">
        <v>0</v>
      </c>
      <c r="S532" t="n">
        <v>0</v>
      </c>
      <c r="T532" t="inlineStr">
        <is>
          <t>BSA</t>
        </is>
      </c>
      <c r="U532" t="inlineStr">
        <is>
          <t>BSA</t>
        </is>
      </c>
    </row>
    <row r="533">
      <c r="C533" t="inlineStr">
        <is>
          <t>BSA</t>
        </is>
      </c>
      <c r="D533" t="inlineStr">
        <is>
          <t>BSA</t>
        </is>
      </c>
      <c r="E533" t="inlineStr">
        <is>
          <t>당월</t>
        </is>
      </c>
      <c r="F533" t="inlineStr">
        <is>
          <t>10월 1주차</t>
        </is>
      </c>
      <c r="G533" t="inlineStr">
        <is>
          <t>네이버</t>
        </is>
      </c>
      <c r="H533" s="16" t="n">
        <v>45208</v>
      </c>
      <c r="I533" t="inlineStr">
        <is>
          <t>PC</t>
        </is>
      </c>
      <c r="J533" t="inlineStr">
        <is>
          <t>00.브랜드검색PCMO</t>
        </is>
      </c>
      <c r="K533" t="inlineStr">
        <is>
          <t>01.PC브랜드검색</t>
        </is>
      </c>
      <c r="M533" t="n">
        <v>0</v>
      </c>
      <c r="N533" t="n">
        <v>0</v>
      </c>
      <c r="O533" t="n">
        <v>36666.66666666666</v>
      </c>
      <c r="P533" t="n">
        <v>0</v>
      </c>
      <c r="Q533" t="n">
        <v>0</v>
      </c>
      <c r="R533" t="n">
        <v>0</v>
      </c>
      <c r="S533" t="n">
        <v>0</v>
      </c>
      <c r="T533" t="inlineStr">
        <is>
          <t>BSA</t>
        </is>
      </c>
      <c r="U533" t="inlineStr">
        <is>
          <t>BSA</t>
        </is>
      </c>
    </row>
    <row r="534">
      <c r="C534" t="inlineStr">
        <is>
          <t>BSA</t>
        </is>
      </c>
      <c r="D534" t="inlineStr">
        <is>
          <t>BSA</t>
        </is>
      </c>
      <c r="E534" t="inlineStr">
        <is>
          <t>당월</t>
        </is>
      </c>
      <c r="F534" t="inlineStr">
        <is>
          <t>10월 1주차</t>
        </is>
      </c>
      <c r="G534" t="inlineStr">
        <is>
          <t>네이버</t>
        </is>
      </c>
      <c r="H534" s="16" t="n">
        <v>45208</v>
      </c>
      <c r="I534" t="inlineStr">
        <is>
          <t>MO</t>
        </is>
      </c>
      <c r="J534" t="inlineStr">
        <is>
          <t>00.브랜드검색PCMO</t>
        </is>
      </c>
      <c r="K534" t="inlineStr">
        <is>
          <t>01.MO브랜드검색</t>
        </is>
      </c>
      <c r="M534" t="n">
        <v>0</v>
      </c>
      <c r="N534" t="n">
        <v>0</v>
      </c>
      <c r="O534" t="n">
        <v>51333.33333333334</v>
      </c>
      <c r="P534" t="n">
        <v>0</v>
      </c>
      <c r="Q534" t="n">
        <v>0</v>
      </c>
      <c r="R534" t="n">
        <v>0</v>
      </c>
      <c r="S534" t="n">
        <v>0</v>
      </c>
      <c r="T534" t="inlineStr">
        <is>
          <t>BSA</t>
        </is>
      </c>
      <c r="U534" t="inlineStr">
        <is>
          <t>BSA</t>
        </is>
      </c>
    </row>
    <row r="535">
      <c r="H535" s="16" t="n"/>
    </row>
    <row r="536">
      <c r="H536" s="16" t="n"/>
    </row>
    <row r="537">
      <c r="H537" s="16" t="n">
        <v>45207</v>
      </c>
    </row>
    <row r="538">
      <c r="H538" s="16" t="n">
        <v>45208</v>
      </c>
    </row>
    <row r="539">
      <c r="H539" s="16" t="n">
        <v>45209</v>
      </c>
    </row>
    <row r="540">
      <c r="H540" s="16" t="n">
        <v>45210</v>
      </c>
    </row>
    <row r="541">
      <c r="H541" s="16" t="n">
        <v>45211</v>
      </c>
    </row>
    <row r="542">
      <c r="H542" s="16" t="n">
        <v>45212</v>
      </c>
    </row>
    <row r="543">
      <c r="H543" s="16" t="n">
        <v>45213</v>
      </c>
    </row>
    <row r="544">
      <c r="H544" s="16" t="n">
        <v>45214</v>
      </c>
    </row>
    <row r="546">
      <c r="X546" s="16" t="n">
        <v>45213</v>
      </c>
    </row>
    <row r="547">
      <c r="X547" s="16" t="n">
        <v>45214</v>
      </c>
    </row>
    <row r="548">
      <c r="X548" s="16" t="n">
        <v>45215</v>
      </c>
    </row>
    <row r="549">
      <c r="C549" t="inlineStr">
        <is>
          <t>BSA</t>
        </is>
      </c>
      <c r="D549" t="inlineStr">
        <is>
          <t>BSA</t>
        </is>
      </c>
      <c r="E549" t="inlineStr">
        <is>
          <t>당월</t>
        </is>
      </c>
      <c r="F549" t="inlineStr">
        <is>
          <t>10월 4주차</t>
        </is>
      </c>
      <c r="G549" t="inlineStr">
        <is>
          <t>네이버</t>
        </is>
      </c>
      <c r="H549" s="16" t="n">
        <v>45209</v>
      </c>
      <c r="I549" t="inlineStr">
        <is>
          <t>PC</t>
        </is>
      </c>
      <c r="J549" t="inlineStr">
        <is>
          <t>00.브랜드검색PCMO</t>
        </is>
      </c>
      <c r="K549" t="inlineStr">
        <is>
          <t>01.PC브랜드검색</t>
        </is>
      </c>
      <c r="M549" t="n">
        <v>0</v>
      </c>
      <c r="N549" t="n">
        <v>0</v>
      </c>
      <c r="O549" t="n">
        <v>36666.66666666666</v>
      </c>
      <c r="P549" t="n">
        <v>0</v>
      </c>
      <c r="Q549" t="n">
        <v>0</v>
      </c>
      <c r="R549" t="n">
        <v>0</v>
      </c>
      <c r="S549" t="n">
        <v>0</v>
      </c>
      <c r="T549" t="inlineStr">
        <is>
          <t>BSA</t>
        </is>
      </c>
      <c r="U549" t="inlineStr">
        <is>
          <t>BSA</t>
        </is>
      </c>
      <c r="X549" s="16" t="n">
        <v>45216</v>
      </c>
    </row>
    <row r="550">
      <c r="C550" t="inlineStr">
        <is>
          <t>BSA</t>
        </is>
      </c>
      <c r="D550" t="inlineStr">
        <is>
          <t>BSA</t>
        </is>
      </c>
      <c r="E550" t="inlineStr">
        <is>
          <t>당월</t>
        </is>
      </c>
      <c r="F550" t="inlineStr">
        <is>
          <t>10월 4주차</t>
        </is>
      </c>
      <c r="G550" t="inlineStr">
        <is>
          <t>네이버</t>
        </is>
      </c>
      <c r="H550" s="16" t="n">
        <v>45209</v>
      </c>
      <c r="I550" t="inlineStr">
        <is>
          <t>MO</t>
        </is>
      </c>
      <c r="J550" t="inlineStr">
        <is>
          <t>00.브랜드검색PCMO</t>
        </is>
      </c>
      <c r="K550" t="inlineStr">
        <is>
          <t>01.MO브랜드검색</t>
        </is>
      </c>
      <c r="M550" t="n">
        <v>0</v>
      </c>
      <c r="N550" t="n">
        <v>0</v>
      </c>
      <c r="O550" t="n">
        <v>51333.33333333334</v>
      </c>
      <c r="P550" t="n">
        <v>0</v>
      </c>
      <c r="Q550" t="n">
        <v>0</v>
      </c>
      <c r="R550" t="n">
        <v>0</v>
      </c>
      <c r="S550" t="n">
        <v>0</v>
      </c>
      <c r="T550" t="inlineStr">
        <is>
          <t>BSA</t>
        </is>
      </c>
      <c r="U550" t="inlineStr">
        <is>
          <t>BSA</t>
        </is>
      </c>
      <c r="X550" s="16" t="n">
        <v>45217</v>
      </c>
    </row>
    <row r="551">
      <c r="C551" t="inlineStr">
        <is>
          <t>BSA</t>
        </is>
      </c>
      <c r="D551" t="inlineStr">
        <is>
          <t>BSA</t>
        </is>
      </c>
      <c r="E551" t="inlineStr">
        <is>
          <t>당월</t>
        </is>
      </c>
      <c r="F551" t="inlineStr">
        <is>
          <t>10월 4주차</t>
        </is>
      </c>
      <c r="G551" t="inlineStr">
        <is>
          <t>네이버</t>
        </is>
      </c>
      <c r="H551" s="16" t="n">
        <v>45210</v>
      </c>
      <c r="I551" t="inlineStr">
        <is>
          <t>PC</t>
        </is>
      </c>
      <c r="J551" t="inlineStr">
        <is>
          <t>00.브랜드검색PCMO</t>
        </is>
      </c>
      <c r="K551" t="inlineStr">
        <is>
          <t>01.PC브랜드검색</t>
        </is>
      </c>
      <c r="M551" t="n">
        <v>0</v>
      </c>
      <c r="N551" t="n">
        <v>0</v>
      </c>
      <c r="O551" t="n">
        <v>36666.66666666666</v>
      </c>
      <c r="P551" t="n">
        <v>0</v>
      </c>
      <c r="Q551" t="n">
        <v>0</v>
      </c>
      <c r="R551" t="n">
        <v>0</v>
      </c>
      <c r="S551" t="n">
        <v>0</v>
      </c>
      <c r="T551" t="inlineStr">
        <is>
          <t>BSA</t>
        </is>
      </c>
      <c r="U551" t="inlineStr">
        <is>
          <t>BSA</t>
        </is>
      </c>
      <c r="X551" s="16" t="n">
        <v>45218</v>
      </c>
    </row>
    <row r="552">
      <c r="C552" t="inlineStr">
        <is>
          <t>BSA</t>
        </is>
      </c>
      <c r="D552" t="inlineStr">
        <is>
          <t>BSA</t>
        </is>
      </c>
      <c r="E552" t="inlineStr">
        <is>
          <t>당월</t>
        </is>
      </c>
      <c r="F552" t="inlineStr">
        <is>
          <t>10월 4주차</t>
        </is>
      </c>
      <c r="G552" t="inlineStr">
        <is>
          <t>네이버</t>
        </is>
      </c>
      <c r="H552" s="16" t="n">
        <v>45210</v>
      </c>
      <c r="I552" t="inlineStr">
        <is>
          <t>MO</t>
        </is>
      </c>
      <c r="J552" t="inlineStr">
        <is>
          <t>00.브랜드검색PCMO</t>
        </is>
      </c>
      <c r="K552" t="inlineStr">
        <is>
          <t>01.MO브랜드검색</t>
        </is>
      </c>
      <c r="M552" t="n">
        <v>0</v>
      </c>
      <c r="N552" t="n">
        <v>0</v>
      </c>
      <c r="O552" t="n">
        <v>51333.33333333334</v>
      </c>
      <c r="P552" t="n">
        <v>0</v>
      </c>
      <c r="Q552" t="n">
        <v>0</v>
      </c>
      <c r="R552" t="n">
        <v>0</v>
      </c>
      <c r="S552" t="n">
        <v>0</v>
      </c>
      <c r="T552" t="inlineStr">
        <is>
          <t>BSA</t>
        </is>
      </c>
      <c r="U552" t="inlineStr">
        <is>
          <t>BSA</t>
        </is>
      </c>
      <c r="X552" s="16" t="n">
        <v>45219</v>
      </c>
    </row>
    <row r="553">
      <c r="C553" t="inlineStr">
        <is>
          <t>BSA</t>
        </is>
      </c>
      <c r="D553" t="inlineStr">
        <is>
          <t>BSA</t>
        </is>
      </c>
      <c r="E553" t="inlineStr">
        <is>
          <t>당월</t>
        </is>
      </c>
      <c r="F553" t="inlineStr">
        <is>
          <t>10월 4주차</t>
        </is>
      </c>
      <c r="G553" t="inlineStr">
        <is>
          <t>네이버</t>
        </is>
      </c>
      <c r="H553" s="16" t="n">
        <v>45211</v>
      </c>
      <c r="I553" t="inlineStr">
        <is>
          <t>PC</t>
        </is>
      </c>
      <c r="J553" t="inlineStr">
        <is>
          <t>00.브랜드검색PCMO</t>
        </is>
      </c>
      <c r="K553" t="inlineStr">
        <is>
          <t>01.PC브랜드검색</t>
        </is>
      </c>
      <c r="M553" t="n">
        <v>0</v>
      </c>
      <c r="N553" t="n">
        <v>0</v>
      </c>
      <c r="O553" t="n">
        <v>36666.66666666666</v>
      </c>
      <c r="P553" t="n">
        <v>0</v>
      </c>
      <c r="Q553" t="n">
        <v>0</v>
      </c>
      <c r="R553" t="n">
        <v>0</v>
      </c>
      <c r="S553" t="n">
        <v>0</v>
      </c>
      <c r="T553" t="inlineStr">
        <is>
          <t>BSA</t>
        </is>
      </c>
      <c r="U553" t="inlineStr">
        <is>
          <t>BSA</t>
        </is>
      </c>
      <c r="X553" s="16" t="n">
        <v>45220</v>
      </c>
    </row>
    <row r="554">
      <c r="C554" t="inlineStr">
        <is>
          <t>BSA</t>
        </is>
      </c>
      <c r="D554" t="inlineStr">
        <is>
          <t>BSA</t>
        </is>
      </c>
      <c r="E554" t="inlineStr">
        <is>
          <t>당월</t>
        </is>
      </c>
      <c r="F554" t="inlineStr">
        <is>
          <t>10월 4주차</t>
        </is>
      </c>
      <c r="G554" t="inlineStr">
        <is>
          <t>네이버</t>
        </is>
      </c>
      <c r="H554" s="16" t="n">
        <v>45211</v>
      </c>
      <c r="I554" t="inlineStr">
        <is>
          <t>MO</t>
        </is>
      </c>
      <c r="J554" t="inlineStr">
        <is>
          <t>00.브랜드검색PCMO</t>
        </is>
      </c>
      <c r="K554" t="inlineStr">
        <is>
          <t>01.MO브랜드검색</t>
        </is>
      </c>
      <c r="M554" t="n">
        <v>0</v>
      </c>
      <c r="N554" t="n">
        <v>0</v>
      </c>
      <c r="O554" t="n">
        <v>51333.33333333334</v>
      </c>
      <c r="P554" t="n">
        <v>0</v>
      </c>
      <c r="Q554" t="n">
        <v>0</v>
      </c>
      <c r="R554" t="n">
        <v>0</v>
      </c>
      <c r="S554" t="n">
        <v>0</v>
      </c>
      <c r="T554" t="inlineStr">
        <is>
          <t>BSA</t>
        </is>
      </c>
      <c r="U554" t="inlineStr">
        <is>
          <t>BSA</t>
        </is>
      </c>
      <c r="X554" s="16" t="n">
        <v>45221</v>
      </c>
    </row>
    <row r="555">
      <c r="C555" t="inlineStr">
        <is>
          <t>BSA</t>
        </is>
      </c>
      <c r="D555" t="inlineStr">
        <is>
          <t>BSA</t>
        </is>
      </c>
      <c r="E555" t="inlineStr">
        <is>
          <t>당월</t>
        </is>
      </c>
      <c r="F555" t="inlineStr">
        <is>
          <t>10월 4주차</t>
        </is>
      </c>
      <c r="G555" t="inlineStr">
        <is>
          <t>네이버</t>
        </is>
      </c>
      <c r="H555" s="16" t="n">
        <v>45212</v>
      </c>
      <c r="I555" t="inlineStr">
        <is>
          <t>PC</t>
        </is>
      </c>
      <c r="J555" t="inlineStr">
        <is>
          <t>00.브랜드검색PCMO</t>
        </is>
      </c>
      <c r="K555" t="inlineStr">
        <is>
          <t>01.PC브랜드검색</t>
        </is>
      </c>
      <c r="M555" t="n">
        <v>0</v>
      </c>
      <c r="N555" t="n">
        <v>0</v>
      </c>
      <c r="O555" t="n">
        <v>36666.66666666666</v>
      </c>
      <c r="P555" t="n">
        <v>0</v>
      </c>
      <c r="Q555" t="n">
        <v>0</v>
      </c>
      <c r="R555" t="n">
        <v>0</v>
      </c>
      <c r="S555" t="n">
        <v>0</v>
      </c>
      <c r="T555" t="inlineStr">
        <is>
          <t>BSA</t>
        </is>
      </c>
      <c r="U555" t="inlineStr">
        <is>
          <t>BSA</t>
        </is>
      </c>
      <c r="X555" s="16" t="n">
        <v>45222</v>
      </c>
    </row>
    <row r="556">
      <c r="C556" t="inlineStr">
        <is>
          <t>BSA</t>
        </is>
      </c>
      <c r="D556" t="inlineStr">
        <is>
          <t>BSA</t>
        </is>
      </c>
      <c r="E556" t="inlineStr">
        <is>
          <t>당월</t>
        </is>
      </c>
      <c r="F556" t="inlineStr">
        <is>
          <t>10월 4주차</t>
        </is>
      </c>
      <c r="G556" t="inlineStr">
        <is>
          <t>네이버</t>
        </is>
      </c>
      <c r="H556" s="16" t="n">
        <v>45212</v>
      </c>
      <c r="I556" t="inlineStr">
        <is>
          <t>MO</t>
        </is>
      </c>
      <c r="J556" t="inlineStr">
        <is>
          <t>00.브랜드검색PCMO</t>
        </is>
      </c>
      <c r="K556" t="inlineStr">
        <is>
          <t>01.MO브랜드검색</t>
        </is>
      </c>
      <c r="M556" t="n">
        <v>0</v>
      </c>
      <c r="N556" t="n">
        <v>0</v>
      </c>
      <c r="O556" t="n">
        <v>51333.33333333334</v>
      </c>
      <c r="P556" t="n">
        <v>0</v>
      </c>
      <c r="Q556" t="n">
        <v>0</v>
      </c>
      <c r="R556" t="n">
        <v>0</v>
      </c>
      <c r="S556" t="n">
        <v>0</v>
      </c>
      <c r="T556" t="inlineStr">
        <is>
          <t>BSA</t>
        </is>
      </c>
      <c r="U556" t="inlineStr">
        <is>
          <t>BSA</t>
        </is>
      </c>
      <c r="X556" s="16" t="n">
        <v>45223</v>
      </c>
    </row>
    <row r="557">
      <c r="C557" t="inlineStr">
        <is>
          <t>BSA</t>
        </is>
      </c>
      <c r="D557" t="inlineStr">
        <is>
          <t>BSA</t>
        </is>
      </c>
      <c r="E557" t="inlineStr">
        <is>
          <t>당월</t>
        </is>
      </c>
      <c r="F557" t="inlineStr">
        <is>
          <t>10월 4주차</t>
        </is>
      </c>
      <c r="G557" t="inlineStr">
        <is>
          <t>네이버</t>
        </is>
      </c>
      <c r="H557" s="16" t="n">
        <v>45213</v>
      </c>
      <c r="I557" t="inlineStr">
        <is>
          <t>PC</t>
        </is>
      </c>
      <c r="J557" t="inlineStr">
        <is>
          <t>00.브랜드검색PCMO</t>
        </is>
      </c>
      <c r="K557" t="inlineStr">
        <is>
          <t>01.PC브랜드검색</t>
        </is>
      </c>
      <c r="M557" t="n">
        <v>0</v>
      </c>
      <c r="N557" t="n">
        <v>0</v>
      </c>
      <c r="O557" t="n">
        <v>36666.66666666666</v>
      </c>
      <c r="P557" t="n">
        <v>0</v>
      </c>
      <c r="Q557" t="n">
        <v>0</v>
      </c>
      <c r="R557" t="n">
        <v>0</v>
      </c>
      <c r="S557" t="n">
        <v>0</v>
      </c>
      <c r="T557" t="inlineStr">
        <is>
          <t>BSA</t>
        </is>
      </c>
      <c r="U557" t="inlineStr">
        <is>
          <t>BSA</t>
        </is>
      </c>
      <c r="X557" s="16" t="n">
        <v>45224</v>
      </c>
    </row>
    <row r="558">
      <c r="C558" t="inlineStr">
        <is>
          <t>BSA</t>
        </is>
      </c>
      <c r="D558" t="inlineStr">
        <is>
          <t>BSA</t>
        </is>
      </c>
      <c r="E558" t="inlineStr">
        <is>
          <t>당월</t>
        </is>
      </c>
      <c r="F558" t="inlineStr">
        <is>
          <t>10월 4주차</t>
        </is>
      </c>
      <c r="G558" t="inlineStr">
        <is>
          <t>네이버</t>
        </is>
      </c>
      <c r="H558" s="16" t="n">
        <v>45213</v>
      </c>
      <c r="I558" t="inlineStr">
        <is>
          <t>MO</t>
        </is>
      </c>
      <c r="J558" t="inlineStr">
        <is>
          <t>00.브랜드검색PCMO</t>
        </is>
      </c>
      <c r="K558" t="inlineStr">
        <is>
          <t>01.MO브랜드검색</t>
        </is>
      </c>
      <c r="M558" t="n">
        <v>0</v>
      </c>
      <c r="N558" t="n">
        <v>0</v>
      </c>
      <c r="O558" t="n">
        <v>51333.33333333334</v>
      </c>
      <c r="P558" t="n">
        <v>0</v>
      </c>
      <c r="Q558" t="n">
        <v>0</v>
      </c>
      <c r="R558" t="n">
        <v>0</v>
      </c>
      <c r="S558" t="n">
        <v>0</v>
      </c>
      <c r="T558" t="inlineStr">
        <is>
          <t>BSA</t>
        </is>
      </c>
      <c r="U558" t="inlineStr">
        <is>
          <t>BSA</t>
        </is>
      </c>
      <c r="X558" s="16" t="n">
        <v>45225</v>
      </c>
    </row>
    <row r="559">
      <c r="C559" t="inlineStr">
        <is>
          <t>BSA</t>
        </is>
      </c>
      <c r="D559" t="inlineStr">
        <is>
          <t>BSA</t>
        </is>
      </c>
      <c r="E559" t="inlineStr">
        <is>
          <t>당월</t>
        </is>
      </c>
      <c r="F559" t="inlineStr">
        <is>
          <t>10월 4주차</t>
        </is>
      </c>
      <c r="G559" t="inlineStr">
        <is>
          <t>네이버</t>
        </is>
      </c>
      <c r="H559" s="16" t="n">
        <v>45214</v>
      </c>
      <c r="I559" t="inlineStr">
        <is>
          <t>PC</t>
        </is>
      </c>
      <c r="J559" t="inlineStr">
        <is>
          <t>00.브랜드검색PCMO</t>
        </is>
      </c>
      <c r="K559" t="inlineStr">
        <is>
          <t>01.PC브랜드검색</t>
        </is>
      </c>
      <c r="M559" t="n">
        <v>0</v>
      </c>
      <c r="N559" t="n">
        <v>0</v>
      </c>
      <c r="O559" t="n">
        <v>36666.66666666666</v>
      </c>
      <c r="P559" t="n">
        <v>0</v>
      </c>
      <c r="Q559" t="n">
        <v>0</v>
      </c>
      <c r="R559" t="n">
        <v>0</v>
      </c>
      <c r="S559" t="n">
        <v>0</v>
      </c>
      <c r="T559" t="inlineStr">
        <is>
          <t>BSA</t>
        </is>
      </c>
      <c r="U559" t="inlineStr">
        <is>
          <t>BSA</t>
        </is>
      </c>
      <c r="X559" s="16" t="n">
        <v>45226</v>
      </c>
    </row>
    <row r="560">
      <c r="C560" t="inlineStr">
        <is>
          <t>BSA</t>
        </is>
      </c>
      <c r="D560" t="inlineStr">
        <is>
          <t>BSA</t>
        </is>
      </c>
      <c r="E560" t="inlineStr">
        <is>
          <t>당월</t>
        </is>
      </c>
      <c r="F560" t="inlineStr">
        <is>
          <t>10월 4주차</t>
        </is>
      </c>
      <c r="G560" t="inlineStr">
        <is>
          <t>네이버</t>
        </is>
      </c>
      <c r="H560" s="16" t="n">
        <v>45214</v>
      </c>
      <c r="I560" t="inlineStr">
        <is>
          <t>MO</t>
        </is>
      </c>
      <c r="J560" t="inlineStr">
        <is>
          <t>00.브랜드검색PCMO</t>
        </is>
      </c>
      <c r="K560" t="inlineStr">
        <is>
          <t>01.MO브랜드검색</t>
        </is>
      </c>
      <c r="M560" t="n">
        <v>0</v>
      </c>
      <c r="N560" t="n">
        <v>0</v>
      </c>
      <c r="O560" t="n">
        <v>51333.33333333334</v>
      </c>
      <c r="P560" t="n">
        <v>0</v>
      </c>
      <c r="Q560" t="n">
        <v>0</v>
      </c>
      <c r="R560" t="n">
        <v>0</v>
      </c>
      <c r="S560" t="n">
        <v>0</v>
      </c>
      <c r="T560" t="inlineStr">
        <is>
          <t>BSA</t>
        </is>
      </c>
      <c r="U560" t="inlineStr">
        <is>
          <t>BSA</t>
        </is>
      </c>
    </row>
    <row r="563">
      <c r="C563" t="inlineStr">
        <is>
          <t>BSA</t>
        </is>
      </c>
      <c r="D563" t="inlineStr">
        <is>
          <t>BSA</t>
        </is>
      </c>
      <c r="E563" t="inlineStr">
        <is>
          <t>당월</t>
        </is>
      </c>
      <c r="F563" t="inlineStr">
        <is>
          <t>10월 4주차</t>
        </is>
      </c>
      <c r="G563" t="inlineStr">
        <is>
          <t>네이버</t>
        </is>
      </c>
      <c r="H563" s="16" t="n">
        <v>45215</v>
      </c>
      <c r="I563" t="inlineStr">
        <is>
          <t>PC</t>
        </is>
      </c>
      <c r="J563" t="inlineStr">
        <is>
          <t>00.브랜드검색PCMO</t>
        </is>
      </c>
      <c r="K563" t="inlineStr">
        <is>
          <t>01.PC브랜드검색</t>
        </is>
      </c>
      <c r="M563" t="n">
        <v>0</v>
      </c>
      <c r="N563" t="n">
        <v>0</v>
      </c>
      <c r="O563" t="n">
        <v>36666.66666666666</v>
      </c>
      <c r="P563" t="n">
        <v>0</v>
      </c>
      <c r="Q563" t="n">
        <v>0</v>
      </c>
      <c r="R563" t="n">
        <v>0</v>
      </c>
      <c r="S563" t="n">
        <v>0</v>
      </c>
      <c r="T563" t="inlineStr">
        <is>
          <t>BSA</t>
        </is>
      </c>
      <c r="U563" t="inlineStr">
        <is>
          <t>BSA</t>
        </is>
      </c>
      <c r="X563" s="16" t="n">
        <v>45220</v>
      </c>
    </row>
    <row r="564">
      <c r="C564" t="inlineStr">
        <is>
          <t>BSA</t>
        </is>
      </c>
      <c r="D564" t="inlineStr">
        <is>
          <t>BSA</t>
        </is>
      </c>
      <c r="E564" t="inlineStr">
        <is>
          <t>당월</t>
        </is>
      </c>
      <c r="F564" t="inlineStr">
        <is>
          <t>10월 4주차</t>
        </is>
      </c>
      <c r="G564" t="inlineStr">
        <is>
          <t>네이버</t>
        </is>
      </c>
      <c r="H564" s="16" t="n">
        <v>45215</v>
      </c>
      <c r="I564" t="inlineStr">
        <is>
          <t>MO</t>
        </is>
      </c>
      <c r="J564" t="inlineStr">
        <is>
          <t>00.브랜드검색PCMO</t>
        </is>
      </c>
      <c r="K564" t="inlineStr">
        <is>
          <t>01.MO브랜드검색</t>
        </is>
      </c>
      <c r="M564" t="n">
        <v>0</v>
      </c>
      <c r="N564" t="n">
        <v>0</v>
      </c>
      <c r="O564" t="n">
        <v>51333.33333333334</v>
      </c>
      <c r="P564" t="n">
        <v>0</v>
      </c>
      <c r="Q564" t="n">
        <v>0</v>
      </c>
      <c r="R564" t="n">
        <v>0</v>
      </c>
      <c r="S564" t="n">
        <v>0</v>
      </c>
      <c r="T564" t="inlineStr">
        <is>
          <t>BSA</t>
        </is>
      </c>
      <c r="U564" t="inlineStr">
        <is>
          <t>BSA</t>
        </is>
      </c>
      <c r="X564" s="16" t="n">
        <v>45221</v>
      </c>
    </row>
    <row r="565">
      <c r="C565" t="inlineStr">
        <is>
          <t>BSA</t>
        </is>
      </c>
      <c r="D565" t="inlineStr">
        <is>
          <t>BSA</t>
        </is>
      </c>
      <c r="E565" t="inlineStr">
        <is>
          <t>당월</t>
        </is>
      </c>
      <c r="F565" t="inlineStr">
        <is>
          <t>10월 4주차</t>
        </is>
      </c>
      <c r="G565" t="inlineStr">
        <is>
          <t>네이버</t>
        </is>
      </c>
      <c r="H565" s="16" t="n">
        <v>45216</v>
      </c>
      <c r="I565" t="inlineStr">
        <is>
          <t>PC</t>
        </is>
      </c>
      <c r="J565" t="inlineStr">
        <is>
          <t>00.브랜드검색PCMO</t>
        </is>
      </c>
      <c r="K565" t="inlineStr">
        <is>
          <t>01.PC브랜드검색</t>
        </is>
      </c>
      <c r="M565" t="n">
        <v>0</v>
      </c>
      <c r="N565" t="n">
        <v>0</v>
      </c>
      <c r="O565" t="n">
        <v>36666.66666666666</v>
      </c>
      <c r="P565" t="n">
        <v>0</v>
      </c>
      <c r="Q565" t="n">
        <v>0</v>
      </c>
      <c r="R565" t="n">
        <v>0</v>
      </c>
      <c r="S565" t="n">
        <v>0</v>
      </c>
      <c r="T565" t="inlineStr">
        <is>
          <t>BSA</t>
        </is>
      </c>
      <c r="U565" t="inlineStr">
        <is>
          <t>BSA</t>
        </is>
      </c>
      <c r="X565" s="16" t="n">
        <v>45222</v>
      </c>
    </row>
    <row r="566">
      <c r="C566" t="inlineStr">
        <is>
          <t>BSA</t>
        </is>
      </c>
      <c r="D566" t="inlineStr">
        <is>
          <t>BSA</t>
        </is>
      </c>
      <c r="E566" t="inlineStr">
        <is>
          <t>당월</t>
        </is>
      </c>
      <c r="F566" t="inlineStr">
        <is>
          <t>10월 4주차</t>
        </is>
      </c>
      <c r="G566" t="inlineStr">
        <is>
          <t>네이버</t>
        </is>
      </c>
      <c r="H566" s="16" t="n">
        <v>45216</v>
      </c>
      <c r="I566" t="inlineStr">
        <is>
          <t>MO</t>
        </is>
      </c>
      <c r="J566" t="inlineStr">
        <is>
          <t>00.브랜드검색PCMO</t>
        </is>
      </c>
      <c r="K566" t="inlineStr">
        <is>
          <t>01.MO브랜드검색</t>
        </is>
      </c>
      <c r="M566" t="n">
        <v>0</v>
      </c>
      <c r="N566" t="n">
        <v>0</v>
      </c>
      <c r="O566" t="n">
        <v>51333.33333333334</v>
      </c>
      <c r="P566" t="n">
        <v>0</v>
      </c>
      <c r="Q566" t="n">
        <v>0</v>
      </c>
      <c r="R566" t="n">
        <v>0</v>
      </c>
      <c r="S566" t="n">
        <v>0</v>
      </c>
      <c r="T566" t="inlineStr">
        <is>
          <t>BSA</t>
        </is>
      </c>
      <c r="U566" t="inlineStr">
        <is>
          <t>BSA</t>
        </is>
      </c>
      <c r="X566" s="16" t="n">
        <v>45223</v>
      </c>
    </row>
    <row r="567">
      <c r="C567" t="inlineStr">
        <is>
          <t>BSA</t>
        </is>
      </c>
      <c r="D567" t="inlineStr">
        <is>
          <t>BSA</t>
        </is>
      </c>
      <c r="E567" t="inlineStr">
        <is>
          <t>당월</t>
        </is>
      </c>
      <c r="F567" t="inlineStr">
        <is>
          <t>10월 4주차</t>
        </is>
      </c>
      <c r="G567" t="inlineStr">
        <is>
          <t>네이버</t>
        </is>
      </c>
      <c r="H567" s="16" t="n">
        <v>45217</v>
      </c>
      <c r="I567" t="inlineStr">
        <is>
          <t>PC</t>
        </is>
      </c>
      <c r="J567" t="inlineStr">
        <is>
          <t>00.브랜드검색PCMO</t>
        </is>
      </c>
      <c r="K567" t="inlineStr">
        <is>
          <t>01.PC브랜드검색</t>
        </is>
      </c>
      <c r="M567" t="n">
        <v>0</v>
      </c>
      <c r="N567" t="n">
        <v>0</v>
      </c>
      <c r="O567" t="n">
        <v>36666.66666666666</v>
      </c>
      <c r="P567" t="n">
        <v>0</v>
      </c>
      <c r="Q567" t="n">
        <v>0</v>
      </c>
      <c r="R567" t="n">
        <v>0</v>
      </c>
      <c r="S567" t="n">
        <v>0</v>
      </c>
      <c r="T567" t="inlineStr">
        <is>
          <t>BSA</t>
        </is>
      </c>
      <c r="U567" t="inlineStr">
        <is>
          <t>BSA</t>
        </is>
      </c>
      <c r="X567" s="16" t="n">
        <v>45224</v>
      </c>
    </row>
    <row r="568">
      <c r="C568" t="inlineStr">
        <is>
          <t>BSA</t>
        </is>
      </c>
      <c r="D568" t="inlineStr">
        <is>
          <t>BSA</t>
        </is>
      </c>
      <c r="E568" t="inlineStr">
        <is>
          <t>당월</t>
        </is>
      </c>
      <c r="F568" t="inlineStr">
        <is>
          <t>10월 4주차</t>
        </is>
      </c>
      <c r="G568" t="inlineStr">
        <is>
          <t>네이버</t>
        </is>
      </c>
      <c r="H568" s="16" t="n">
        <v>45217</v>
      </c>
      <c r="I568" t="inlineStr">
        <is>
          <t>MO</t>
        </is>
      </c>
      <c r="J568" t="inlineStr">
        <is>
          <t>00.브랜드검색PCMO</t>
        </is>
      </c>
      <c r="K568" t="inlineStr">
        <is>
          <t>01.MO브랜드검색</t>
        </is>
      </c>
      <c r="M568" t="n">
        <v>0</v>
      </c>
      <c r="N568" t="n">
        <v>0</v>
      </c>
      <c r="O568" t="n">
        <v>51333.33333333334</v>
      </c>
      <c r="P568" t="n">
        <v>0</v>
      </c>
      <c r="Q568" t="n">
        <v>0</v>
      </c>
      <c r="R568" t="n">
        <v>0</v>
      </c>
      <c r="S568" t="n">
        <v>0</v>
      </c>
      <c r="T568" t="inlineStr">
        <is>
          <t>BSA</t>
        </is>
      </c>
      <c r="U568" t="inlineStr">
        <is>
          <t>BSA</t>
        </is>
      </c>
      <c r="X568" s="16" t="n">
        <v>45225</v>
      </c>
    </row>
    <row r="569">
      <c r="C569" t="inlineStr">
        <is>
          <t>BSA</t>
        </is>
      </c>
      <c r="D569" t="inlineStr">
        <is>
          <t>BSA</t>
        </is>
      </c>
      <c r="E569" t="inlineStr">
        <is>
          <t>당월</t>
        </is>
      </c>
      <c r="F569" t="inlineStr">
        <is>
          <t>10월 4주차</t>
        </is>
      </c>
      <c r="G569" t="inlineStr">
        <is>
          <t>네이버</t>
        </is>
      </c>
      <c r="H569" s="16" t="n">
        <v>45218</v>
      </c>
      <c r="I569" t="inlineStr">
        <is>
          <t>PC</t>
        </is>
      </c>
      <c r="J569" t="inlineStr">
        <is>
          <t>00.브랜드검색PCMO</t>
        </is>
      </c>
      <c r="K569" t="inlineStr">
        <is>
          <t>01.PC브랜드검색</t>
        </is>
      </c>
      <c r="M569" t="n">
        <v>0</v>
      </c>
      <c r="N569" t="n">
        <v>0</v>
      </c>
      <c r="O569" t="n">
        <v>36666.66666666666</v>
      </c>
      <c r="P569" t="n">
        <v>0</v>
      </c>
      <c r="Q569" t="n">
        <v>0</v>
      </c>
      <c r="R569" t="n">
        <v>0</v>
      </c>
      <c r="S569" t="n">
        <v>0</v>
      </c>
      <c r="T569" t="inlineStr">
        <is>
          <t>BSA</t>
        </is>
      </c>
      <c r="U569" t="inlineStr">
        <is>
          <t>BSA</t>
        </is>
      </c>
      <c r="X569" s="16" t="n">
        <v>45226</v>
      </c>
    </row>
    <row r="570">
      <c r="C570" t="inlineStr">
        <is>
          <t>BSA</t>
        </is>
      </c>
      <c r="D570" t="inlineStr">
        <is>
          <t>BSA</t>
        </is>
      </c>
      <c r="E570" t="inlineStr">
        <is>
          <t>당월</t>
        </is>
      </c>
      <c r="F570" t="inlineStr">
        <is>
          <t>10월 4주차</t>
        </is>
      </c>
      <c r="G570" t="inlineStr">
        <is>
          <t>네이버</t>
        </is>
      </c>
      <c r="H570" s="16" t="n">
        <v>45218</v>
      </c>
      <c r="I570" t="inlineStr">
        <is>
          <t>MO</t>
        </is>
      </c>
      <c r="J570" t="inlineStr">
        <is>
          <t>00.브랜드검색PCMO</t>
        </is>
      </c>
      <c r="K570" t="inlineStr">
        <is>
          <t>01.MO브랜드검색</t>
        </is>
      </c>
      <c r="M570" t="n">
        <v>0</v>
      </c>
      <c r="N570" t="n">
        <v>0</v>
      </c>
      <c r="O570" t="n">
        <v>51333.33333333334</v>
      </c>
      <c r="P570" t="n">
        <v>0</v>
      </c>
      <c r="Q570" t="n">
        <v>0</v>
      </c>
      <c r="R570" t="n">
        <v>0</v>
      </c>
      <c r="S570" t="n">
        <v>0</v>
      </c>
      <c r="T570" t="inlineStr">
        <is>
          <t>BSA</t>
        </is>
      </c>
      <c r="U570" t="inlineStr">
        <is>
          <t>BSA</t>
        </is>
      </c>
      <c r="X570" s="16" t="n">
        <v>45227</v>
      </c>
    </row>
    <row r="571">
      <c r="C571" t="inlineStr">
        <is>
          <t>BSA</t>
        </is>
      </c>
      <c r="D571" t="inlineStr">
        <is>
          <t>BSA</t>
        </is>
      </c>
      <c r="E571" t="inlineStr">
        <is>
          <t>당월</t>
        </is>
      </c>
      <c r="F571" t="inlineStr">
        <is>
          <t>10월 4주차</t>
        </is>
      </c>
      <c r="G571" t="inlineStr">
        <is>
          <t>네이버</t>
        </is>
      </c>
      <c r="H571" s="16" t="n">
        <v>45219</v>
      </c>
      <c r="I571" t="inlineStr">
        <is>
          <t>PC</t>
        </is>
      </c>
      <c r="J571" t="inlineStr">
        <is>
          <t>00.브랜드검색PCMO</t>
        </is>
      </c>
      <c r="K571" t="inlineStr">
        <is>
          <t>01.PC브랜드검색</t>
        </is>
      </c>
      <c r="M571" t="n">
        <v>0</v>
      </c>
      <c r="N571" t="n">
        <v>0</v>
      </c>
      <c r="O571" t="n">
        <v>36666.66666666666</v>
      </c>
      <c r="P571" t="n">
        <v>0</v>
      </c>
      <c r="Q571" t="n">
        <v>0</v>
      </c>
      <c r="R571" t="n">
        <v>0</v>
      </c>
      <c r="S571" t="n">
        <v>0</v>
      </c>
      <c r="T571" t="inlineStr">
        <is>
          <t>BSA</t>
        </is>
      </c>
      <c r="U571" t="inlineStr">
        <is>
          <t>BSA</t>
        </is>
      </c>
      <c r="X571" s="16" t="n">
        <v>45228</v>
      </c>
    </row>
    <row r="572">
      <c r="C572" t="inlineStr">
        <is>
          <t>BSA</t>
        </is>
      </c>
      <c r="D572" t="inlineStr">
        <is>
          <t>BSA</t>
        </is>
      </c>
      <c r="E572" t="inlineStr">
        <is>
          <t>당월</t>
        </is>
      </c>
      <c r="F572" t="inlineStr">
        <is>
          <t>10월 4주차</t>
        </is>
      </c>
      <c r="G572" t="inlineStr">
        <is>
          <t>네이버</t>
        </is>
      </c>
      <c r="H572" s="16" t="n">
        <v>45219</v>
      </c>
      <c r="I572" t="inlineStr">
        <is>
          <t>MO</t>
        </is>
      </c>
      <c r="J572" t="inlineStr">
        <is>
          <t>00.브랜드검색PCMO</t>
        </is>
      </c>
      <c r="K572" t="inlineStr">
        <is>
          <t>01.MO브랜드검색</t>
        </is>
      </c>
      <c r="M572" t="n">
        <v>0</v>
      </c>
      <c r="N572" t="n">
        <v>0</v>
      </c>
      <c r="O572" t="n">
        <v>51333.33333333334</v>
      </c>
      <c r="P572" t="n">
        <v>0</v>
      </c>
      <c r="Q572" t="n">
        <v>0</v>
      </c>
      <c r="R572" t="n">
        <v>0</v>
      </c>
      <c r="S572" t="n">
        <v>0</v>
      </c>
      <c r="T572" t="inlineStr">
        <is>
          <t>BSA</t>
        </is>
      </c>
      <c r="U572" t="inlineStr">
        <is>
          <t>BSA</t>
        </is>
      </c>
      <c r="X572" s="16" t="n">
        <v>45229</v>
      </c>
    </row>
    <row r="573">
      <c r="C573" t="inlineStr">
        <is>
          <t>BSA</t>
        </is>
      </c>
      <c r="D573" t="inlineStr">
        <is>
          <t>BSA</t>
        </is>
      </c>
      <c r="E573" t="inlineStr">
        <is>
          <t>당월</t>
        </is>
      </c>
      <c r="F573" t="inlineStr">
        <is>
          <t>10월 4주차</t>
        </is>
      </c>
      <c r="G573" t="inlineStr">
        <is>
          <t>네이버</t>
        </is>
      </c>
      <c r="H573" s="16" t="n">
        <v>45220</v>
      </c>
      <c r="I573" t="inlineStr">
        <is>
          <t>PC</t>
        </is>
      </c>
      <c r="J573" t="inlineStr">
        <is>
          <t>00.브랜드검색PCMO</t>
        </is>
      </c>
      <c r="K573" t="inlineStr">
        <is>
          <t>01.PC브랜드검색</t>
        </is>
      </c>
      <c r="M573" t="n">
        <v>0</v>
      </c>
      <c r="N573" t="n">
        <v>0</v>
      </c>
      <c r="O573" t="n">
        <v>36666.66666666666</v>
      </c>
      <c r="P573" t="n">
        <v>0</v>
      </c>
      <c r="Q573" t="n">
        <v>0</v>
      </c>
      <c r="R573" t="n">
        <v>0</v>
      </c>
      <c r="S573" t="n">
        <v>0</v>
      </c>
      <c r="T573" t="inlineStr">
        <is>
          <t>BSA</t>
        </is>
      </c>
      <c r="U573" t="inlineStr">
        <is>
          <t>BSA</t>
        </is>
      </c>
    </row>
    <row r="574">
      <c r="C574" t="inlineStr">
        <is>
          <t>BSA</t>
        </is>
      </c>
      <c r="D574" t="inlineStr">
        <is>
          <t>BSA</t>
        </is>
      </c>
      <c r="E574" t="inlineStr">
        <is>
          <t>당월</t>
        </is>
      </c>
      <c r="F574" t="inlineStr">
        <is>
          <t>10월 4주차</t>
        </is>
      </c>
      <c r="G574" t="inlineStr">
        <is>
          <t>네이버</t>
        </is>
      </c>
      <c r="H574" s="16" t="n">
        <v>45220</v>
      </c>
      <c r="I574" t="inlineStr">
        <is>
          <t>MO</t>
        </is>
      </c>
      <c r="J574" t="inlineStr">
        <is>
          <t>00.브랜드검색PCMO</t>
        </is>
      </c>
      <c r="K574" t="inlineStr">
        <is>
          <t>01.MO브랜드검색</t>
        </is>
      </c>
      <c r="M574" t="n">
        <v>0</v>
      </c>
      <c r="N574" t="n">
        <v>0</v>
      </c>
      <c r="O574" t="n">
        <v>51333.33333333334</v>
      </c>
      <c r="P574" t="n">
        <v>0</v>
      </c>
      <c r="Q574" t="n">
        <v>0</v>
      </c>
      <c r="R574" t="n">
        <v>0</v>
      </c>
      <c r="S574" t="n">
        <v>0</v>
      </c>
      <c r="T574" t="inlineStr">
        <is>
          <t>BSA</t>
        </is>
      </c>
      <c r="U574" t="inlineStr">
        <is>
          <t>BSA</t>
        </is>
      </c>
    </row>
    <row r="575">
      <c r="C575" t="inlineStr">
        <is>
          <t>BSA</t>
        </is>
      </c>
      <c r="D575" t="inlineStr">
        <is>
          <t>BSA</t>
        </is>
      </c>
      <c r="E575" t="inlineStr">
        <is>
          <t>당월</t>
        </is>
      </c>
      <c r="F575" t="inlineStr">
        <is>
          <t>10월 4주차</t>
        </is>
      </c>
      <c r="G575" t="inlineStr">
        <is>
          <t>네이버</t>
        </is>
      </c>
      <c r="H575" s="16" t="n">
        <v>45221</v>
      </c>
      <c r="I575" t="inlineStr">
        <is>
          <t>PC</t>
        </is>
      </c>
      <c r="J575" t="inlineStr">
        <is>
          <t>00.브랜드검색PCMO</t>
        </is>
      </c>
      <c r="K575" t="inlineStr">
        <is>
          <t>01.PC브랜드검색</t>
        </is>
      </c>
      <c r="M575" t="n">
        <v>0</v>
      </c>
      <c r="N575" t="n">
        <v>0</v>
      </c>
      <c r="O575" t="n">
        <v>36666.66666666666</v>
      </c>
      <c r="P575" t="n">
        <v>0</v>
      </c>
      <c r="Q575" t="n">
        <v>0</v>
      </c>
      <c r="R575" t="n">
        <v>0</v>
      </c>
      <c r="S575" t="n">
        <v>0</v>
      </c>
      <c r="T575" t="inlineStr">
        <is>
          <t>BSA</t>
        </is>
      </c>
      <c r="U575" t="inlineStr">
        <is>
          <t>BSA</t>
        </is>
      </c>
    </row>
    <row r="576">
      <c r="C576" t="inlineStr">
        <is>
          <t>BSA</t>
        </is>
      </c>
      <c r="D576" t="inlineStr">
        <is>
          <t>BSA</t>
        </is>
      </c>
      <c r="E576" t="inlineStr">
        <is>
          <t>당월</t>
        </is>
      </c>
      <c r="F576" t="inlineStr">
        <is>
          <t>10월 4주차</t>
        </is>
      </c>
      <c r="G576" t="inlineStr">
        <is>
          <t>네이버</t>
        </is>
      </c>
      <c r="H576" s="16" t="n">
        <v>45221</v>
      </c>
      <c r="I576" t="inlineStr">
        <is>
          <t>MO</t>
        </is>
      </c>
      <c r="J576" t="inlineStr">
        <is>
          <t>00.브랜드검색PCMO</t>
        </is>
      </c>
      <c r="K576" t="inlineStr">
        <is>
          <t>01.MO브랜드검색</t>
        </is>
      </c>
      <c r="M576" t="n">
        <v>0</v>
      </c>
      <c r="N576" t="n">
        <v>0</v>
      </c>
      <c r="O576" t="n">
        <v>51333.33333333334</v>
      </c>
      <c r="P576" t="n">
        <v>0</v>
      </c>
      <c r="Q576" t="n">
        <v>0</v>
      </c>
      <c r="R576" t="n">
        <v>0</v>
      </c>
      <c r="S576" t="n">
        <v>0</v>
      </c>
      <c r="T576" t="inlineStr">
        <is>
          <t>BSA</t>
        </is>
      </c>
      <c r="U576" t="inlineStr">
        <is>
          <t>BSA</t>
        </is>
      </c>
    </row>
    <row r="579">
      <c r="C579" t="inlineStr">
        <is>
          <t>BSA</t>
        </is>
      </c>
      <c r="D579" t="inlineStr">
        <is>
          <t>BSA</t>
        </is>
      </c>
      <c r="E579" t="inlineStr">
        <is>
          <t>당월</t>
        </is>
      </c>
      <c r="F579" t="inlineStr">
        <is>
          <t>10월 5주차</t>
        </is>
      </c>
      <c r="G579" t="inlineStr">
        <is>
          <t>네이버</t>
        </is>
      </c>
      <c r="H579" s="16" t="n">
        <v>45222</v>
      </c>
      <c r="I579" t="inlineStr">
        <is>
          <t>PC</t>
        </is>
      </c>
      <c r="J579" t="inlineStr">
        <is>
          <t>00.브랜드검색PCMO</t>
        </is>
      </c>
      <c r="K579" t="inlineStr">
        <is>
          <t>01.PC브랜드검색</t>
        </is>
      </c>
      <c r="M579" t="n">
        <v>0</v>
      </c>
      <c r="N579" t="n">
        <v>0</v>
      </c>
      <c r="O579" t="n">
        <v>36666.66666666666</v>
      </c>
      <c r="P579" t="n">
        <v>0</v>
      </c>
      <c r="Q579" t="n">
        <v>0</v>
      </c>
      <c r="R579" t="n">
        <v>0</v>
      </c>
      <c r="S579" t="n">
        <v>0</v>
      </c>
      <c r="T579" t="inlineStr">
        <is>
          <t>BSA</t>
        </is>
      </c>
      <c r="U579" t="inlineStr">
        <is>
          <t>BSA</t>
        </is>
      </c>
      <c r="X579" s="16" t="n">
        <v>45227</v>
      </c>
    </row>
    <row r="580">
      <c r="C580" t="inlineStr">
        <is>
          <t>BSA</t>
        </is>
      </c>
      <c r="D580" t="inlineStr">
        <is>
          <t>BSA</t>
        </is>
      </c>
      <c r="E580" t="inlineStr">
        <is>
          <t>당월</t>
        </is>
      </c>
      <c r="F580" t="inlineStr">
        <is>
          <t>10월 5주차</t>
        </is>
      </c>
      <c r="G580" t="inlineStr">
        <is>
          <t>네이버</t>
        </is>
      </c>
      <c r="H580" s="16" t="n">
        <v>45222</v>
      </c>
      <c r="I580" t="inlineStr">
        <is>
          <t>MO</t>
        </is>
      </c>
      <c r="J580" t="inlineStr">
        <is>
          <t>00.브랜드검색PCMO</t>
        </is>
      </c>
      <c r="K580" t="inlineStr">
        <is>
          <t>01.MO브랜드검색</t>
        </is>
      </c>
      <c r="M580" t="n">
        <v>0</v>
      </c>
      <c r="N580" t="n">
        <v>0</v>
      </c>
      <c r="O580" t="n">
        <v>51333.33333333334</v>
      </c>
      <c r="P580" t="n">
        <v>0</v>
      </c>
      <c r="Q580" t="n">
        <v>0</v>
      </c>
      <c r="R580" t="n">
        <v>0</v>
      </c>
      <c r="S580" t="n">
        <v>0</v>
      </c>
      <c r="T580" t="inlineStr">
        <is>
          <t>BSA</t>
        </is>
      </c>
      <c r="U580" t="inlineStr">
        <is>
          <t>BSA</t>
        </is>
      </c>
      <c r="X580" s="16" t="n">
        <v>45228</v>
      </c>
    </row>
    <row r="581">
      <c r="C581" t="inlineStr">
        <is>
          <t>BSA</t>
        </is>
      </c>
      <c r="D581" t="inlineStr">
        <is>
          <t>BSA</t>
        </is>
      </c>
      <c r="E581" t="inlineStr">
        <is>
          <t>당월</t>
        </is>
      </c>
      <c r="F581" t="inlineStr">
        <is>
          <t>10월 5주차</t>
        </is>
      </c>
      <c r="G581" t="inlineStr">
        <is>
          <t>네이버</t>
        </is>
      </c>
      <c r="H581" s="16" t="n">
        <v>45223</v>
      </c>
      <c r="I581" t="inlineStr">
        <is>
          <t>PC</t>
        </is>
      </c>
      <c r="J581" t="inlineStr">
        <is>
          <t>00.브랜드검색PCMO</t>
        </is>
      </c>
      <c r="K581" t="inlineStr">
        <is>
          <t>01.PC브랜드검색</t>
        </is>
      </c>
      <c r="M581" t="n">
        <v>0</v>
      </c>
      <c r="N581" t="n">
        <v>0</v>
      </c>
      <c r="O581" t="n">
        <v>36666.66666666666</v>
      </c>
      <c r="P581" t="n">
        <v>0</v>
      </c>
      <c r="Q581" t="n">
        <v>0</v>
      </c>
      <c r="R581" t="n">
        <v>0</v>
      </c>
      <c r="S581" t="n">
        <v>0</v>
      </c>
      <c r="T581" t="inlineStr">
        <is>
          <t>BSA</t>
        </is>
      </c>
      <c r="U581" t="inlineStr">
        <is>
          <t>BSA</t>
        </is>
      </c>
      <c r="X581" s="16" t="n">
        <v>45229</v>
      </c>
    </row>
    <row r="582">
      <c r="C582" t="inlineStr">
        <is>
          <t>BSA</t>
        </is>
      </c>
      <c r="D582" t="inlineStr">
        <is>
          <t>BSA</t>
        </is>
      </c>
      <c r="E582" t="inlineStr">
        <is>
          <t>당월</t>
        </is>
      </c>
      <c r="F582" t="inlineStr">
        <is>
          <t>10월 5주차</t>
        </is>
      </c>
      <c r="G582" t="inlineStr">
        <is>
          <t>네이버</t>
        </is>
      </c>
      <c r="H582" s="16" t="n">
        <v>45223</v>
      </c>
      <c r="I582" t="inlineStr">
        <is>
          <t>MO</t>
        </is>
      </c>
      <c r="J582" t="inlineStr">
        <is>
          <t>00.브랜드검색PCMO</t>
        </is>
      </c>
      <c r="K582" t="inlineStr">
        <is>
          <t>01.MO브랜드검색</t>
        </is>
      </c>
      <c r="M582" t="n">
        <v>0</v>
      </c>
      <c r="N582" t="n">
        <v>0</v>
      </c>
      <c r="O582" t="n">
        <v>51333.33333333334</v>
      </c>
      <c r="P582" t="n">
        <v>0</v>
      </c>
      <c r="Q582" t="n">
        <v>0</v>
      </c>
      <c r="R582" t="n">
        <v>0</v>
      </c>
      <c r="S582" t="n">
        <v>0</v>
      </c>
      <c r="T582" t="inlineStr">
        <is>
          <t>BSA</t>
        </is>
      </c>
      <c r="U582" t="inlineStr">
        <is>
          <t>BSA</t>
        </is>
      </c>
      <c r="X582" s="16" t="n">
        <v>45230</v>
      </c>
    </row>
    <row r="583">
      <c r="C583" t="inlineStr">
        <is>
          <t>BSA</t>
        </is>
      </c>
      <c r="D583" t="inlineStr">
        <is>
          <t>BSA</t>
        </is>
      </c>
      <c r="E583" t="inlineStr">
        <is>
          <t>당월</t>
        </is>
      </c>
      <c r="F583" t="inlineStr">
        <is>
          <t>10월 5주차</t>
        </is>
      </c>
      <c r="G583" t="inlineStr">
        <is>
          <t>네이버</t>
        </is>
      </c>
      <c r="H583" s="16" t="n">
        <v>45224</v>
      </c>
      <c r="I583" t="inlineStr">
        <is>
          <t>PC</t>
        </is>
      </c>
      <c r="J583" t="inlineStr">
        <is>
          <t>00.브랜드검색PCMO</t>
        </is>
      </c>
      <c r="K583" t="inlineStr">
        <is>
          <t>01.PC브랜드검색</t>
        </is>
      </c>
      <c r="M583" t="n">
        <v>0</v>
      </c>
      <c r="N583" t="n">
        <v>0</v>
      </c>
      <c r="O583" t="n">
        <v>36666.66666666666</v>
      </c>
      <c r="P583" t="n">
        <v>0</v>
      </c>
      <c r="Q583" t="n">
        <v>0</v>
      </c>
      <c r="R583" t="n">
        <v>0</v>
      </c>
      <c r="S583" t="n">
        <v>0</v>
      </c>
      <c r="T583" t="inlineStr">
        <is>
          <t>BSA</t>
        </is>
      </c>
      <c r="U583" t="inlineStr">
        <is>
          <t>BSA</t>
        </is>
      </c>
      <c r="X583" s="16" t="n">
        <v>45231</v>
      </c>
    </row>
    <row r="584">
      <c r="C584" t="inlineStr">
        <is>
          <t>BSA</t>
        </is>
      </c>
      <c r="D584" t="inlineStr">
        <is>
          <t>BSA</t>
        </is>
      </c>
      <c r="E584" t="inlineStr">
        <is>
          <t>당월</t>
        </is>
      </c>
      <c r="F584" t="inlineStr">
        <is>
          <t>10월 5주차</t>
        </is>
      </c>
      <c r="G584" t="inlineStr">
        <is>
          <t>네이버</t>
        </is>
      </c>
      <c r="H584" s="16" t="n">
        <v>45224</v>
      </c>
      <c r="I584" t="inlineStr">
        <is>
          <t>MO</t>
        </is>
      </c>
      <c r="J584" t="inlineStr">
        <is>
          <t>00.브랜드검색PCMO</t>
        </is>
      </c>
      <c r="K584" t="inlineStr">
        <is>
          <t>01.MO브랜드검색</t>
        </is>
      </c>
      <c r="M584" t="n">
        <v>0</v>
      </c>
      <c r="N584" t="n">
        <v>0</v>
      </c>
      <c r="O584" t="n">
        <v>51333.33333333334</v>
      </c>
      <c r="P584" t="n">
        <v>0</v>
      </c>
      <c r="Q584" t="n">
        <v>0</v>
      </c>
      <c r="R584" t="n">
        <v>0</v>
      </c>
      <c r="S584" t="n">
        <v>0</v>
      </c>
      <c r="T584" t="inlineStr">
        <is>
          <t>BSA</t>
        </is>
      </c>
      <c r="U584" t="inlineStr">
        <is>
          <t>BSA</t>
        </is>
      </c>
      <c r="X584" s="16" t="n">
        <v>45232</v>
      </c>
    </row>
    <row r="585">
      <c r="C585" t="inlineStr">
        <is>
          <t>BSA</t>
        </is>
      </c>
      <c r="D585" t="inlineStr">
        <is>
          <t>BSA</t>
        </is>
      </c>
      <c r="E585" t="inlineStr">
        <is>
          <t>당월</t>
        </is>
      </c>
      <c r="F585" t="inlineStr">
        <is>
          <t>10월 5주차</t>
        </is>
      </c>
      <c r="G585" t="inlineStr">
        <is>
          <t>네이버</t>
        </is>
      </c>
      <c r="H585" s="16" t="n">
        <v>45225</v>
      </c>
      <c r="I585" t="inlineStr">
        <is>
          <t>PC</t>
        </is>
      </c>
      <c r="J585" t="inlineStr">
        <is>
          <t>00.브랜드검색PCMO</t>
        </is>
      </c>
      <c r="K585" t="inlineStr">
        <is>
          <t>01.PC브랜드검색</t>
        </is>
      </c>
      <c r="M585" t="n">
        <v>0</v>
      </c>
      <c r="N585" t="n">
        <v>0</v>
      </c>
      <c r="O585" t="n">
        <v>36666.66666666666</v>
      </c>
      <c r="P585" t="n">
        <v>0</v>
      </c>
      <c r="Q585" t="n">
        <v>0</v>
      </c>
      <c r="R585" t="n">
        <v>0</v>
      </c>
      <c r="S585" t="n">
        <v>0</v>
      </c>
      <c r="T585" t="inlineStr">
        <is>
          <t>BSA</t>
        </is>
      </c>
      <c r="U585" t="inlineStr">
        <is>
          <t>BSA</t>
        </is>
      </c>
      <c r="X585" s="16" t="n">
        <v>45233</v>
      </c>
    </row>
    <row r="586">
      <c r="C586" t="inlineStr">
        <is>
          <t>BSA</t>
        </is>
      </c>
      <c r="D586" t="inlineStr">
        <is>
          <t>BSA</t>
        </is>
      </c>
      <c r="E586" t="inlineStr">
        <is>
          <t>당월</t>
        </is>
      </c>
      <c r="F586" t="inlineStr">
        <is>
          <t>10월 5주차</t>
        </is>
      </c>
      <c r="G586" t="inlineStr">
        <is>
          <t>네이버</t>
        </is>
      </c>
      <c r="H586" s="16" t="n">
        <v>45225</v>
      </c>
      <c r="I586" t="inlineStr">
        <is>
          <t>MO</t>
        </is>
      </c>
      <c r="J586" t="inlineStr">
        <is>
          <t>00.브랜드검색PCMO</t>
        </is>
      </c>
      <c r="K586" t="inlineStr">
        <is>
          <t>01.MO브랜드검색</t>
        </is>
      </c>
      <c r="M586" t="n">
        <v>0</v>
      </c>
      <c r="N586" t="n">
        <v>0</v>
      </c>
      <c r="O586" t="n">
        <v>51333.33333333334</v>
      </c>
      <c r="P586" t="n">
        <v>0</v>
      </c>
      <c r="Q586" t="n">
        <v>0</v>
      </c>
      <c r="R586" t="n">
        <v>0</v>
      </c>
      <c r="S586" t="n">
        <v>0</v>
      </c>
      <c r="T586" t="inlineStr">
        <is>
          <t>BSA</t>
        </is>
      </c>
      <c r="U586" t="inlineStr">
        <is>
          <t>BSA</t>
        </is>
      </c>
      <c r="X586" s="16" t="n">
        <v>45234</v>
      </c>
    </row>
    <row r="587">
      <c r="C587" t="inlineStr">
        <is>
          <t>BSA</t>
        </is>
      </c>
      <c r="D587" t="inlineStr">
        <is>
          <t>BSA</t>
        </is>
      </c>
      <c r="E587" t="inlineStr">
        <is>
          <t>당월</t>
        </is>
      </c>
      <c r="F587" t="inlineStr">
        <is>
          <t>10월 5주차</t>
        </is>
      </c>
      <c r="G587" t="inlineStr">
        <is>
          <t>네이버</t>
        </is>
      </c>
      <c r="H587" s="16" t="n">
        <v>45226</v>
      </c>
      <c r="I587" t="inlineStr">
        <is>
          <t>PC</t>
        </is>
      </c>
      <c r="J587" t="inlineStr">
        <is>
          <t>00.브랜드검색PCMO</t>
        </is>
      </c>
      <c r="K587" t="inlineStr">
        <is>
          <t>01.PC브랜드검색</t>
        </is>
      </c>
      <c r="M587" t="n">
        <v>0</v>
      </c>
      <c r="N587" t="n">
        <v>0</v>
      </c>
      <c r="O587" t="n">
        <v>36666.66666666666</v>
      </c>
      <c r="P587" t="n">
        <v>0</v>
      </c>
      <c r="Q587" t="n">
        <v>0</v>
      </c>
      <c r="R587" t="n">
        <v>0</v>
      </c>
      <c r="S587" t="n">
        <v>0</v>
      </c>
      <c r="T587" t="inlineStr">
        <is>
          <t>BSA</t>
        </is>
      </c>
      <c r="U587" t="inlineStr">
        <is>
          <t>BSA</t>
        </is>
      </c>
      <c r="X587" s="16" t="n">
        <v>45235</v>
      </c>
    </row>
    <row r="588">
      <c r="C588" t="inlineStr">
        <is>
          <t>BSA</t>
        </is>
      </c>
      <c r="D588" t="inlineStr">
        <is>
          <t>BSA</t>
        </is>
      </c>
      <c r="E588" t="inlineStr">
        <is>
          <t>당월</t>
        </is>
      </c>
      <c r="F588" t="inlineStr">
        <is>
          <t>10월 5주차</t>
        </is>
      </c>
      <c r="G588" t="inlineStr">
        <is>
          <t>네이버</t>
        </is>
      </c>
      <c r="H588" s="16" t="n">
        <v>45226</v>
      </c>
      <c r="I588" t="inlineStr">
        <is>
          <t>MO</t>
        </is>
      </c>
      <c r="J588" t="inlineStr">
        <is>
          <t>00.브랜드검색PCMO</t>
        </is>
      </c>
      <c r="K588" t="inlineStr">
        <is>
          <t>01.MO브랜드검색</t>
        </is>
      </c>
      <c r="M588" t="n">
        <v>0</v>
      </c>
      <c r="N588" t="n">
        <v>0</v>
      </c>
      <c r="O588" t="n">
        <v>51333.33333333334</v>
      </c>
      <c r="P588" t="n">
        <v>0</v>
      </c>
      <c r="Q588" t="n">
        <v>0</v>
      </c>
      <c r="R588" t="n">
        <v>0</v>
      </c>
      <c r="S588" t="n">
        <v>0</v>
      </c>
      <c r="T588" t="inlineStr">
        <is>
          <t>BSA</t>
        </is>
      </c>
      <c r="U588" t="inlineStr">
        <is>
          <t>BSA</t>
        </is>
      </c>
      <c r="X588" s="16" t="n">
        <v>45236</v>
      </c>
    </row>
    <row r="589">
      <c r="C589" t="inlineStr">
        <is>
          <t>BSA</t>
        </is>
      </c>
      <c r="D589" t="inlineStr">
        <is>
          <t>BSA</t>
        </is>
      </c>
      <c r="E589" t="inlineStr">
        <is>
          <t>당월</t>
        </is>
      </c>
      <c r="F589" t="inlineStr">
        <is>
          <t>10월 5주차</t>
        </is>
      </c>
      <c r="G589" t="inlineStr">
        <is>
          <t>네이버</t>
        </is>
      </c>
      <c r="H589" s="16" t="n">
        <v>45227</v>
      </c>
      <c r="I589" t="inlineStr">
        <is>
          <t>PC</t>
        </is>
      </c>
      <c r="J589" t="inlineStr">
        <is>
          <t>00.브랜드검색PCMO</t>
        </is>
      </c>
      <c r="K589" t="inlineStr">
        <is>
          <t>01.PC브랜드검색</t>
        </is>
      </c>
      <c r="M589" t="n">
        <v>0</v>
      </c>
      <c r="N589" t="n">
        <v>0</v>
      </c>
      <c r="O589" t="n">
        <v>36666.66666666666</v>
      </c>
      <c r="P589" t="n">
        <v>0</v>
      </c>
      <c r="Q589" t="n">
        <v>0</v>
      </c>
      <c r="R589" t="n">
        <v>0</v>
      </c>
      <c r="S589" t="n">
        <v>0</v>
      </c>
      <c r="T589" t="inlineStr">
        <is>
          <t>BSA</t>
        </is>
      </c>
      <c r="U589" t="inlineStr">
        <is>
          <t>BSA</t>
        </is>
      </c>
      <c r="X589" s="16" t="n">
        <v>45237</v>
      </c>
    </row>
    <row r="590">
      <c r="C590" t="inlineStr">
        <is>
          <t>BSA</t>
        </is>
      </c>
      <c r="D590" t="inlineStr">
        <is>
          <t>BSA</t>
        </is>
      </c>
      <c r="E590" t="inlineStr">
        <is>
          <t>당월</t>
        </is>
      </c>
      <c r="F590" t="inlineStr">
        <is>
          <t>10월 5주차</t>
        </is>
      </c>
      <c r="G590" t="inlineStr">
        <is>
          <t>네이버</t>
        </is>
      </c>
      <c r="H590" s="16" t="n">
        <v>45227</v>
      </c>
      <c r="I590" t="inlineStr">
        <is>
          <t>MO</t>
        </is>
      </c>
      <c r="J590" t="inlineStr">
        <is>
          <t>00.브랜드검색PCMO</t>
        </is>
      </c>
      <c r="K590" t="inlineStr">
        <is>
          <t>01.MO브랜드검색</t>
        </is>
      </c>
      <c r="M590" t="n">
        <v>0</v>
      </c>
      <c r="N590" t="n">
        <v>0</v>
      </c>
      <c r="O590" t="n">
        <v>51333.33333333334</v>
      </c>
      <c r="P590" t="n">
        <v>0</v>
      </c>
      <c r="Q590" t="n">
        <v>0</v>
      </c>
      <c r="R590" t="n">
        <v>0</v>
      </c>
      <c r="S590" t="n">
        <v>0</v>
      </c>
      <c r="T590" t="inlineStr">
        <is>
          <t>BSA</t>
        </is>
      </c>
      <c r="U590" t="inlineStr">
        <is>
          <t>BSA</t>
        </is>
      </c>
      <c r="X590" s="16" t="n">
        <v>45238</v>
      </c>
    </row>
    <row r="591">
      <c r="C591" t="inlineStr">
        <is>
          <t>BSA</t>
        </is>
      </c>
      <c r="D591" t="inlineStr">
        <is>
          <t>BSA</t>
        </is>
      </c>
      <c r="E591" t="inlineStr">
        <is>
          <t>당월</t>
        </is>
      </c>
      <c r="F591" t="inlineStr">
        <is>
          <t>10월 5주차</t>
        </is>
      </c>
      <c r="G591" t="inlineStr">
        <is>
          <t>네이버</t>
        </is>
      </c>
      <c r="H591" s="16" t="n">
        <v>45228</v>
      </c>
      <c r="I591" t="inlineStr">
        <is>
          <t>PC</t>
        </is>
      </c>
      <c r="J591" t="inlineStr">
        <is>
          <t>00.브랜드검색PCMO</t>
        </is>
      </c>
      <c r="K591" t="inlineStr">
        <is>
          <t>01.PC브랜드검색</t>
        </is>
      </c>
      <c r="M591" t="n">
        <v>0</v>
      </c>
      <c r="N591" t="n">
        <v>0</v>
      </c>
      <c r="O591" t="n">
        <v>36666.66666666666</v>
      </c>
      <c r="P591" t="n">
        <v>0</v>
      </c>
      <c r="Q591" t="n">
        <v>0</v>
      </c>
      <c r="R591" t="n">
        <v>0</v>
      </c>
      <c r="S591" t="n">
        <v>0</v>
      </c>
      <c r="T591" t="inlineStr">
        <is>
          <t>BSA</t>
        </is>
      </c>
      <c r="U591" t="inlineStr">
        <is>
          <t>BSA</t>
        </is>
      </c>
      <c r="X591" s="16" t="n">
        <v>45239</v>
      </c>
    </row>
    <row r="592">
      <c r="C592" t="inlineStr">
        <is>
          <t>BSA</t>
        </is>
      </c>
      <c r="D592" t="inlineStr">
        <is>
          <t>BSA</t>
        </is>
      </c>
      <c r="E592" t="inlineStr">
        <is>
          <t>당월</t>
        </is>
      </c>
      <c r="F592" t="inlineStr">
        <is>
          <t>10월 5주차</t>
        </is>
      </c>
      <c r="G592" t="inlineStr">
        <is>
          <t>네이버</t>
        </is>
      </c>
      <c r="H592" s="16" t="n">
        <v>45228</v>
      </c>
      <c r="I592" t="inlineStr">
        <is>
          <t>MO</t>
        </is>
      </c>
      <c r="J592" t="inlineStr">
        <is>
          <t>00.브랜드검색PCMO</t>
        </is>
      </c>
      <c r="K592" t="inlineStr">
        <is>
          <t>01.MO브랜드검색</t>
        </is>
      </c>
      <c r="M592" t="n">
        <v>0</v>
      </c>
      <c r="N592" t="n">
        <v>0</v>
      </c>
      <c r="O592" t="n">
        <v>51333.33333333334</v>
      </c>
      <c r="P592" t="n">
        <v>0</v>
      </c>
      <c r="Q592" t="n">
        <v>0</v>
      </c>
      <c r="R592" t="n">
        <v>0</v>
      </c>
      <c r="S592" t="n">
        <v>0</v>
      </c>
      <c r="T592" t="inlineStr">
        <is>
          <t>BSA</t>
        </is>
      </c>
      <c r="U592" t="inlineStr">
        <is>
          <t>BSA</t>
        </is>
      </c>
      <c r="X592" s="16" t="n">
        <v>45240</v>
      </c>
    </row>
    <row r="593">
      <c r="X593" s="16" t="n">
        <v>45241</v>
      </c>
    </row>
    <row r="594">
      <c r="X594" s="16" t="n">
        <v>45242</v>
      </c>
    </row>
    <row r="595">
      <c r="X595" s="16" t="n">
        <v>45243</v>
      </c>
    </row>
    <row r="596">
      <c r="C596" t="inlineStr">
        <is>
          <t>BSA</t>
        </is>
      </c>
      <c r="D596" t="inlineStr">
        <is>
          <t>BSA</t>
        </is>
      </c>
      <c r="E596" t="inlineStr">
        <is>
          <t>당월</t>
        </is>
      </c>
      <c r="F596" t="inlineStr">
        <is>
          <t>10월 6주차</t>
        </is>
      </c>
      <c r="G596" t="inlineStr">
        <is>
          <t>네이버</t>
        </is>
      </c>
      <c r="H596" s="16" t="n">
        <v>45229</v>
      </c>
      <c r="I596" t="inlineStr">
        <is>
          <t>PC</t>
        </is>
      </c>
      <c r="J596" t="inlineStr">
        <is>
          <t>00.브랜드검색PCMO</t>
        </is>
      </c>
      <c r="K596" t="inlineStr">
        <is>
          <t>01.PC브랜드검색</t>
        </is>
      </c>
      <c r="M596" t="n">
        <v>0</v>
      </c>
      <c r="N596" t="n">
        <v>0</v>
      </c>
      <c r="O596" t="n">
        <v>36666.66666666666</v>
      </c>
      <c r="P596" t="n">
        <v>0</v>
      </c>
      <c r="Q596" t="n">
        <v>0</v>
      </c>
      <c r="R596" t="n">
        <v>0</v>
      </c>
      <c r="S596" t="n">
        <v>0</v>
      </c>
      <c r="T596" t="inlineStr">
        <is>
          <t>BSA</t>
        </is>
      </c>
      <c r="U596" t="inlineStr">
        <is>
          <t>BSA</t>
        </is>
      </c>
      <c r="X596" s="16" t="n">
        <v>45244</v>
      </c>
    </row>
    <row r="597">
      <c r="C597" t="inlineStr">
        <is>
          <t>BSA</t>
        </is>
      </c>
      <c r="D597" t="inlineStr">
        <is>
          <t>BSA</t>
        </is>
      </c>
      <c r="E597" t="inlineStr">
        <is>
          <t>당월</t>
        </is>
      </c>
      <c r="F597" t="inlineStr">
        <is>
          <t>10월 6주차</t>
        </is>
      </c>
      <c r="G597" t="inlineStr">
        <is>
          <t>네이버</t>
        </is>
      </c>
      <c r="H597" s="16" t="n">
        <v>45229</v>
      </c>
      <c r="I597" t="inlineStr">
        <is>
          <t>MO</t>
        </is>
      </c>
      <c r="J597" t="inlineStr">
        <is>
          <t>00.브랜드검색PCMO</t>
        </is>
      </c>
      <c r="K597" t="inlineStr">
        <is>
          <t>01.MO브랜드검색</t>
        </is>
      </c>
      <c r="M597" t="n">
        <v>0</v>
      </c>
      <c r="N597" t="n">
        <v>0</v>
      </c>
      <c r="O597" t="n">
        <v>51333.33333333334</v>
      </c>
      <c r="P597" t="n">
        <v>0</v>
      </c>
      <c r="Q597" t="n">
        <v>0</v>
      </c>
      <c r="R597" t="n">
        <v>0</v>
      </c>
      <c r="S597" t="n">
        <v>0</v>
      </c>
      <c r="T597" t="inlineStr">
        <is>
          <t>BSA</t>
        </is>
      </c>
      <c r="U597" t="inlineStr">
        <is>
          <t>BSA</t>
        </is>
      </c>
      <c r="X597" s="16" t="n">
        <v>45245</v>
      </c>
    </row>
    <row r="598">
      <c r="C598" t="inlineStr">
        <is>
          <t>BSA</t>
        </is>
      </c>
      <c r="D598" t="inlineStr">
        <is>
          <t>BSA</t>
        </is>
      </c>
      <c r="E598" t="inlineStr">
        <is>
          <t>당월</t>
        </is>
      </c>
      <c r="F598" t="inlineStr">
        <is>
          <t>10월 6주차</t>
        </is>
      </c>
      <c r="G598" t="inlineStr">
        <is>
          <t>네이버</t>
        </is>
      </c>
      <c r="H598" s="16" t="n">
        <v>45230</v>
      </c>
      <c r="I598" t="inlineStr">
        <is>
          <t>PC</t>
        </is>
      </c>
      <c r="J598" t="inlineStr">
        <is>
          <t>00.브랜드검색PCMO</t>
        </is>
      </c>
      <c r="K598" t="inlineStr">
        <is>
          <t>01.PC브랜드검색</t>
        </is>
      </c>
      <c r="M598" t="n">
        <v>0</v>
      </c>
      <c r="N598" t="n">
        <v>0</v>
      </c>
      <c r="O598" t="n">
        <v>36666.66666666666</v>
      </c>
      <c r="P598" t="n">
        <v>0</v>
      </c>
      <c r="Q598" t="n">
        <v>0</v>
      </c>
      <c r="R598" t="n">
        <v>0</v>
      </c>
      <c r="S598" t="n">
        <v>0</v>
      </c>
      <c r="T598" t="inlineStr">
        <is>
          <t>BSA</t>
        </is>
      </c>
      <c r="U598" t="inlineStr">
        <is>
          <t>BSA</t>
        </is>
      </c>
      <c r="X598" s="16" t="n">
        <v>45246</v>
      </c>
    </row>
    <row r="599">
      <c r="C599" t="inlineStr">
        <is>
          <t>BSA</t>
        </is>
      </c>
      <c r="D599" t="inlineStr">
        <is>
          <t>BSA</t>
        </is>
      </c>
      <c r="E599" t="inlineStr">
        <is>
          <t>당월</t>
        </is>
      </c>
      <c r="F599" t="inlineStr">
        <is>
          <t>10월 6주차</t>
        </is>
      </c>
      <c r="G599" t="inlineStr">
        <is>
          <t>네이버</t>
        </is>
      </c>
      <c r="H599" s="16" t="n">
        <v>45230</v>
      </c>
      <c r="I599" t="inlineStr">
        <is>
          <t>MO</t>
        </is>
      </c>
      <c r="J599" t="inlineStr">
        <is>
          <t>00.브랜드검색PCMO</t>
        </is>
      </c>
      <c r="K599" t="inlineStr">
        <is>
          <t>01.MO브랜드검색</t>
        </is>
      </c>
      <c r="M599" t="n">
        <v>0</v>
      </c>
      <c r="N599" t="n">
        <v>0</v>
      </c>
      <c r="O599" t="n">
        <v>51333.33333333334</v>
      </c>
      <c r="P599" t="n">
        <v>0</v>
      </c>
      <c r="Q599" t="n">
        <v>0</v>
      </c>
      <c r="R599" t="n">
        <v>0</v>
      </c>
      <c r="S599" t="n">
        <v>0</v>
      </c>
      <c r="T599" t="inlineStr">
        <is>
          <t>BSA</t>
        </is>
      </c>
      <c r="U599" t="inlineStr">
        <is>
          <t>BSA</t>
        </is>
      </c>
      <c r="X599" s="16" t="n">
        <v>45247</v>
      </c>
    </row>
    <row r="600">
      <c r="X600" s="16" t="n">
        <v>45248</v>
      </c>
    </row>
    <row r="601">
      <c r="X601" s="16" t="n">
        <v>45249</v>
      </c>
    </row>
    <row r="602">
      <c r="X602" s="16" t="n">
        <v>45250</v>
      </c>
    </row>
    <row r="603">
      <c r="X603" s="16" t="n">
        <v>45251</v>
      </c>
    </row>
    <row r="604">
      <c r="C604" t="inlineStr">
        <is>
          <t>BSA</t>
        </is>
      </c>
      <c r="D604" t="inlineStr">
        <is>
          <t>BSA</t>
        </is>
      </c>
      <c r="E604" t="inlineStr">
        <is>
          <t>당월</t>
        </is>
      </c>
      <c r="F604" t="inlineStr">
        <is>
          <t>11월 1주차</t>
        </is>
      </c>
      <c r="G604" t="inlineStr">
        <is>
          <t>네이버</t>
        </is>
      </c>
      <c r="H604" s="16" t="n">
        <v>45231</v>
      </c>
      <c r="I604" t="inlineStr">
        <is>
          <t>PC</t>
        </is>
      </c>
      <c r="J604" t="inlineStr">
        <is>
          <t>00.브랜드검색PCMO</t>
        </is>
      </c>
      <c r="K604" t="inlineStr">
        <is>
          <t>01.PC브랜드검색</t>
        </is>
      </c>
      <c r="M604" t="n">
        <v>0</v>
      </c>
      <c r="N604" t="n">
        <v>0</v>
      </c>
      <c r="O604" t="n">
        <v>36666.66666666666</v>
      </c>
      <c r="P604" t="n">
        <v>0</v>
      </c>
      <c r="Q604" t="n">
        <v>0</v>
      </c>
      <c r="R604" t="n">
        <v>0</v>
      </c>
      <c r="S604" t="n">
        <v>0</v>
      </c>
      <c r="T604" t="inlineStr">
        <is>
          <t>BSA</t>
        </is>
      </c>
      <c r="U604" t="inlineStr">
        <is>
          <t>BSA</t>
        </is>
      </c>
      <c r="X604" s="16" t="n">
        <v>45252</v>
      </c>
    </row>
    <row r="605">
      <c r="C605" t="inlineStr">
        <is>
          <t>BSA</t>
        </is>
      </c>
      <c r="D605" t="inlineStr">
        <is>
          <t>BSA</t>
        </is>
      </c>
      <c r="E605" t="inlineStr">
        <is>
          <t>당월</t>
        </is>
      </c>
      <c r="F605" t="inlineStr">
        <is>
          <t>11월 1주차</t>
        </is>
      </c>
      <c r="G605" t="inlineStr">
        <is>
          <t>네이버</t>
        </is>
      </c>
      <c r="H605" s="16" t="n">
        <v>45231</v>
      </c>
      <c r="I605" t="inlineStr">
        <is>
          <t>MO</t>
        </is>
      </c>
      <c r="J605" t="inlineStr">
        <is>
          <t>00.브랜드검색PCMO</t>
        </is>
      </c>
      <c r="K605" t="inlineStr">
        <is>
          <t>01.MO브랜드검색</t>
        </is>
      </c>
      <c r="M605" t="n">
        <v>0</v>
      </c>
      <c r="N605" t="n">
        <v>0</v>
      </c>
      <c r="O605" t="n">
        <v>51333.33333333334</v>
      </c>
      <c r="P605" t="n">
        <v>0</v>
      </c>
      <c r="Q605" t="n">
        <v>0</v>
      </c>
      <c r="R605" t="n">
        <v>0</v>
      </c>
      <c r="S605" t="n">
        <v>0</v>
      </c>
      <c r="T605" t="inlineStr">
        <is>
          <t>BSA</t>
        </is>
      </c>
      <c r="U605" t="inlineStr">
        <is>
          <t>BSA</t>
        </is>
      </c>
      <c r="X605" s="16" t="n">
        <v>45253</v>
      </c>
    </row>
    <row r="606">
      <c r="C606" t="inlineStr">
        <is>
          <t>BSA</t>
        </is>
      </c>
      <c r="D606" t="inlineStr">
        <is>
          <t>BSA</t>
        </is>
      </c>
      <c r="E606" t="inlineStr">
        <is>
          <t>당월</t>
        </is>
      </c>
      <c r="F606" t="inlineStr">
        <is>
          <t>11월 1주차</t>
        </is>
      </c>
      <c r="G606" t="inlineStr">
        <is>
          <t>네이버</t>
        </is>
      </c>
      <c r="H606" s="16" t="n">
        <v>45232</v>
      </c>
      <c r="I606" t="inlineStr">
        <is>
          <t>PC</t>
        </is>
      </c>
      <c r="J606" t="inlineStr">
        <is>
          <t>00.브랜드검색PCMO</t>
        </is>
      </c>
      <c r="K606" t="inlineStr">
        <is>
          <t>01.PC브랜드검색</t>
        </is>
      </c>
      <c r="M606" t="n">
        <v>0</v>
      </c>
      <c r="N606" t="n">
        <v>0</v>
      </c>
      <c r="O606" t="n">
        <v>36666.66666666666</v>
      </c>
      <c r="P606" t="n">
        <v>0</v>
      </c>
      <c r="Q606" t="n">
        <v>0</v>
      </c>
      <c r="R606" t="n">
        <v>0</v>
      </c>
      <c r="S606" t="n">
        <v>0</v>
      </c>
      <c r="T606" t="inlineStr">
        <is>
          <t>BSA</t>
        </is>
      </c>
      <c r="U606" t="inlineStr">
        <is>
          <t>BSA</t>
        </is>
      </c>
      <c r="X606" s="16" t="n">
        <v>45254</v>
      </c>
    </row>
    <row r="607">
      <c r="C607" t="inlineStr">
        <is>
          <t>BSA</t>
        </is>
      </c>
      <c r="D607" t="inlineStr">
        <is>
          <t>BSA</t>
        </is>
      </c>
      <c r="E607" t="inlineStr">
        <is>
          <t>당월</t>
        </is>
      </c>
      <c r="F607" t="inlineStr">
        <is>
          <t>11월 1주차</t>
        </is>
      </c>
      <c r="G607" t="inlineStr">
        <is>
          <t>네이버</t>
        </is>
      </c>
      <c r="H607" s="16" t="n">
        <v>45232</v>
      </c>
      <c r="I607" t="inlineStr">
        <is>
          <t>MO</t>
        </is>
      </c>
      <c r="J607" t="inlineStr">
        <is>
          <t>00.브랜드검색PCMO</t>
        </is>
      </c>
      <c r="K607" t="inlineStr">
        <is>
          <t>01.MO브랜드검색</t>
        </is>
      </c>
      <c r="M607" t="n">
        <v>0</v>
      </c>
      <c r="N607" t="n">
        <v>0</v>
      </c>
      <c r="O607" t="n">
        <v>51333.33333333334</v>
      </c>
      <c r="P607" t="n">
        <v>0</v>
      </c>
      <c r="Q607" t="n">
        <v>0</v>
      </c>
      <c r="R607" t="n">
        <v>0</v>
      </c>
      <c r="S607" t="n">
        <v>0</v>
      </c>
      <c r="T607" t="inlineStr">
        <is>
          <t>BSA</t>
        </is>
      </c>
      <c r="U607" t="inlineStr">
        <is>
          <t>BSA</t>
        </is>
      </c>
      <c r="X607" s="16" t="n">
        <v>45255</v>
      </c>
    </row>
    <row r="608">
      <c r="C608" t="inlineStr">
        <is>
          <t>BSA</t>
        </is>
      </c>
      <c r="D608" t="inlineStr">
        <is>
          <t>BSA</t>
        </is>
      </c>
      <c r="E608" t="inlineStr">
        <is>
          <t>당월</t>
        </is>
      </c>
      <c r="F608" t="inlineStr">
        <is>
          <t>11월 1주차</t>
        </is>
      </c>
      <c r="G608" t="inlineStr">
        <is>
          <t>네이버</t>
        </is>
      </c>
      <c r="H608" s="16" t="n">
        <v>45233</v>
      </c>
      <c r="I608" t="inlineStr">
        <is>
          <t>PC</t>
        </is>
      </c>
      <c r="J608" t="inlineStr">
        <is>
          <t>00.브랜드검색PCMO</t>
        </is>
      </c>
      <c r="K608" t="inlineStr">
        <is>
          <t>01.PC브랜드검색</t>
        </is>
      </c>
      <c r="M608" t="n">
        <v>0</v>
      </c>
      <c r="N608" t="n">
        <v>0</v>
      </c>
      <c r="O608" t="n">
        <v>36666.66666666666</v>
      </c>
      <c r="P608" t="n">
        <v>0</v>
      </c>
      <c r="Q608" t="n">
        <v>0</v>
      </c>
      <c r="R608" t="n">
        <v>0</v>
      </c>
      <c r="S608" t="n">
        <v>0</v>
      </c>
      <c r="T608" t="inlineStr">
        <is>
          <t>BSA</t>
        </is>
      </c>
      <c r="U608" t="inlineStr">
        <is>
          <t>BSA</t>
        </is>
      </c>
      <c r="X608" s="16" t="n">
        <v>45256</v>
      </c>
    </row>
    <row r="609">
      <c r="C609" t="inlineStr">
        <is>
          <t>BSA</t>
        </is>
      </c>
      <c r="D609" t="inlineStr">
        <is>
          <t>BSA</t>
        </is>
      </c>
      <c r="E609" t="inlineStr">
        <is>
          <t>당월</t>
        </is>
      </c>
      <c r="F609" t="inlineStr">
        <is>
          <t>11월 1주차</t>
        </is>
      </c>
      <c r="G609" t="inlineStr">
        <is>
          <t>네이버</t>
        </is>
      </c>
      <c r="H609" s="16" t="n">
        <v>45233</v>
      </c>
      <c r="I609" t="inlineStr">
        <is>
          <t>MO</t>
        </is>
      </c>
      <c r="J609" t="inlineStr">
        <is>
          <t>00.브랜드검색PCMO</t>
        </is>
      </c>
      <c r="K609" t="inlineStr">
        <is>
          <t>01.MO브랜드검색</t>
        </is>
      </c>
      <c r="M609" t="n">
        <v>0</v>
      </c>
      <c r="N609" t="n">
        <v>0</v>
      </c>
      <c r="O609" t="n">
        <v>51333.33333333334</v>
      </c>
      <c r="P609" t="n">
        <v>0</v>
      </c>
      <c r="Q609" t="n">
        <v>0</v>
      </c>
      <c r="R609" t="n">
        <v>0</v>
      </c>
      <c r="S609" t="n">
        <v>0</v>
      </c>
      <c r="T609" t="inlineStr">
        <is>
          <t>BSA</t>
        </is>
      </c>
      <c r="U609" t="inlineStr">
        <is>
          <t>BSA</t>
        </is>
      </c>
      <c r="X609" s="16" t="n">
        <v>45257</v>
      </c>
    </row>
    <row r="610">
      <c r="C610" t="inlineStr">
        <is>
          <t>BSA</t>
        </is>
      </c>
      <c r="D610" t="inlineStr">
        <is>
          <t>BSA</t>
        </is>
      </c>
      <c r="E610" t="inlineStr">
        <is>
          <t>당월</t>
        </is>
      </c>
      <c r="F610" t="inlineStr">
        <is>
          <t>11월 1주차</t>
        </is>
      </c>
      <c r="G610" t="inlineStr">
        <is>
          <t>네이버</t>
        </is>
      </c>
      <c r="H610" s="16" t="n">
        <v>45234</v>
      </c>
      <c r="I610" t="inlineStr">
        <is>
          <t>PC</t>
        </is>
      </c>
      <c r="J610" t="inlineStr">
        <is>
          <t>00.브랜드검색PCMO</t>
        </is>
      </c>
      <c r="K610" t="inlineStr">
        <is>
          <t>01.PC브랜드검색</t>
        </is>
      </c>
      <c r="M610" t="n">
        <v>0</v>
      </c>
      <c r="N610" t="n">
        <v>0</v>
      </c>
      <c r="O610" t="n">
        <v>36666.66666666666</v>
      </c>
      <c r="P610" t="n">
        <v>0</v>
      </c>
      <c r="Q610" t="n">
        <v>0</v>
      </c>
      <c r="R610" t="n">
        <v>0</v>
      </c>
      <c r="S610" t="n">
        <v>0</v>
      </c>
      <c r="T610" t="inlineStr">
        <is>
          <t>BSA</t>
        </is>
      </c>
      <c r="U610" t="inlineStr">
        <is>
          <t>BSA</t>
        </is>
      </c>
      <c r="X610" s="16" t="n">
        <v>45258</v>
      </c>
    </row>
    <row r="611">
      <c r="C611" t="inlineStr">
        <is>
          <t>BSA</t>
        </is>
      </c>
      <c r="D611" t="inlineStr">
        <is>
          <t>BSA</t>
        </is>
      </c>
      <c r="E611" t="inlineStr">
        <is>
          <t>당월</t>
        </is>
      </c>
      <c r="F611" t="inlineStr">
        <is>
          <t>11월 1주차</t>
        </is>
      </c>
      <c r="G611" t="inlineStr">
        <is>
          <t>네이버</t>
        </is>
      </c>
      <c r="H611" s="16" t="n">
        <v>45234</v>
      </c>
      <c r="I611" t="inlineStr">
        <is>
          <t>MO</t>
        </is>
      </c>
      <c r="J611" t="inlineStr">
        <is>
          <t>00.브랜드검색PCMO</t>
        </is>
      </c>
      <c r="K611" t="inlineStr">
        <is>
          <t>01.MO브랜드검색</t>
        </is>
      </c>
      <c r="M611" t="n">
        <v>0</v>
      </c>
      <c r="N611" t="n">
        <v>0</v>
      </c>
      <c r="O611" t="n">
        <v>51333.33333333334</v>
      </c>
      <c r="P611" t="n">
        <v>0</v>
      </c>
      <c r="Q611" t="n">
        <v>0</v>
      </c>
      <c r="R611" t="n">
        <v>0</v>
      </c>
      <c r="S611" t="n">
        <v>0</v>
      </c>
      <c r="T611" t="inlineStr">
        <is>
          <t>BSA</t>
        </is>
      </c>
      <c r="U611" t="inlineStr">
        <is>
          <t>BSA</t>
        </is>
      </c>
      <c r="X611" s="16" t="n">
        <v>45259</v>
      </c>
    </row>
    <row r="612">
      <c r="C612" t="inlineStr">
        <is>
          <t>BSA</t>
        </is>
      </c>
      <c r="D612" t="inlineStr">
        <is>
          <t>BSA</t>
        </is>
      </c>
      <c r="E612" t="inlineStr">
        <is>
          <t>당월</t>
        </is>
      </c>
      <c r="F612" t="inlineStr">
        <is>
          <t>11월 1주차</t>
        </is>
      </c>
      <c r="G612" t="inlineStr">
        <is>
          <t>네이버</t>
        </is>
      </c>
      <c r="H612" s="16" t="n">
        <v>45235</v>
      </c>
      <c r="I612" t="inlineStr">
        <is>
          <t>PC</t>
        </is>
      </c>
      <c r="J612" t="inlineStr">
        <is>
          <t>00.브랜드검색PCMO</t>
        </is>
      </c>
      <c r="K612" t="inlineStr">
        <is>
          <t>01.PC브랜드검색</t>
        </is>
      </c>
      <c r="M612" t="n">
        <v>0</v>
      </c>
      <c r="N612" t="n">
        <v>0</v>
      </c>
      <c r="O612" t="n">
        <v>36666.66666666666</v>
      </c>
      <c r="P612" t="n">
        <v>0</v>
      </c>
      <c r="Q612" t="n">
        <v>0</v>
      </c>
      <c r="R612" t="n">
        <v>0</v>
      </c>
      <c r="S612" t="n">
        <v>0</v>
      </c>
      <c r="T612" t="inlineStr">
        <is>
          <t>BSA</t>
        </is>
      </c>
      <c r="U612" t="inlineStr">
        <is>
          <t>BSA</t>
        </is>
      </c>
      <c r="X612" s="16" t="n">
        <v>45260</v>
      </c>
    </row>
    <row r="613">
      <c r="C613" t="inlineStr">
        <is>
          <t>BSA</t>
        </is>
      </c>
      <c r="D613" t="inlineStr">
        <is>
          <t>BSA</t>
        </is>
      </c>
      <c r="E613" t="inlineStr">
        <is>
          <t>당월</t>
        </is>
      </c>
      <c r="F613" t="inlineStr">
        <is>
          <t>11월 1주차</t>
        </is>
      </c>
      <c r="G613" t="inlineStr">
        <is>
          <t>네이버</t>
        </is>
      </c>
      <c r="H613" s="16" t="n">
        <v>45235</v>
      </c>
      <c r="I613" t="inlineStr">
        <is>
          <t>MO</t>
        </is>
      </c>
      <c r="J613" t="inlineStr">
        <is>
          <t>00.브랜드검색PCMO</t>
        </is>
      </c>
      <c r="K613" t="inlineStr">
        <is>
          <t>01.MO브랜드검색</t>
        </is>
      </c>
      <c r="M613" t="n">
        <v>0</v>
      </c>
      <c r="N613" t="n">
        <v>0</v>
      </c>
      <c r="O613" t="n">
        <v>51333.33333333334</v>
      </c>
      <c r="P613" t="n">
        <v>0</v>
      </c>
      <c r="Q613" t="n">
        <v>0</v>
      </c>
      <c r="R613" t="n">
        <v>0</v>
      </c>
      <c r="S613" t="n">
        <v>0</v>
      </c>
      <c r="T613" t="inlineStr">
        <is>
          <t>BSA</t>
        </is>
      </c>
      <c r="U613" t="inlineStr">
        <is>
          <t>BSA</t>
        </is>
      </c>
      <c r="X613" s="16" t="n">
        <v>45261</v>
      </c>
    </row>
    <row r="614">
      <c r="X614" s="16" t="n">
        <v>45262</v>
      </c>
    </row>
    <row r="615">
      <c r="C615" t="inlineStr">
        <is>
          <t>BSA</t>
        </is>
      </c>
      <c r="D615" t="inlineStr">
        <is>
          <t>BSA</t>
        </is>
      </c>
      <c r="E615" t="inlineStr">
        <is>
          <t>당월</t>
        </is>
      </c>
      <c r="F615" t="inlineStr">
        <is>
          <t>11월 1주차</t>
        </is>
      </c>
      <c r="G615" t="inlineStr">
        <is>
          <t>네이버</t>
        </is>
      </c>
      <c r="H615" s="16" t="n">
        <v>45236</v>
      </c>
      <c r="I615" t="inlineStr">
        <is>
          <t>PC</t>
        </is>
      </c>
      <c r="J615" t="inlineStr">
        <is>
          <t>00.브랜드검색PCMO</t>
        </is>
      </c>
      <c r="K615" t="inlineStr">
        <is>
          <t>01.PC브랜드검색</t>
        </is>
      </c>
      <c r="M615" t="n">
        <v>0</v>
      </c>
      <c r="N615" t="n">
        <v>0</v>
      </c>
      <c r="O615" t="n">
        <v>36666.66666666666</v>
      </c>
      <c r="P615" t="n">
        <v>0</v>
      </c>
      <c r="Q615" t="n">
        <v>0</v>
      </c>
      <c r="R615" t="n">
        <v>0</v>
      </c>
      <c r="S615" t="n">
        <v>0</v>
      </c>
      <c r="T615" t="inlineStr">
        <is>
          <t>BSA</t>
        </is>
      </c>
      <c r="U615" t="inlineStr">
        <is>
          <t>BSA</t>
        </is>
      </c>
      <c r="X615" s="16" t="n">
        <v>45263</v>
      </c>
    </row>
    <row r="616">
      <c r="C616" t="inlineStr">
        <is>
          <t>BSA</t>
        </is>
      </c>
      <c r="D616" t="inlineStr">
        <is>
          <t>BSA</t>
        </is>
      </c>
      <c r="E616" t="inlineStr">
        <is>
          <t>당월</t>
        </is>
      </c>
      <c r="F616" t="inlineStr">
        <is>
          <t>11월 1주차</t>
        </is>
      </c>
      <c r="G616" t="inlineStr">
        <is>
          <t>네이버</t>
        </is>
      </c>
      <c r="H616" s="16" t="n">
        <v>45236</v>
      </c>
      <c r="I616" t="inlineStr">
        <is>
          <t>MO</t>
        </is>
      </c>
      <c r="J616" t="inlineStr">
        <is>
          <t>00.브랜드검색PCMO</t>
        </is>
      </c>
      <c r="K616" t="inlineStr">
        <is>
          <t>01.MO브랜드검색</t>
        </is>
      </c>
      <c r="M616" t="n">
        <v>0</v>
      </c>
      <c r="N616" t="n">
        <v>0</v>
      </c>
      <c r="O616" t="n">
        <v>51333.33333333334</v>
      </c>
      <c r="P616" t="n">
        <v>0</v>
      </c>
      <c r="Q616" t="n">
        <v>0</v>
      </c>
      <c r="R616" t="n">
        <v>0</v>
      </c>
      <c r="S616" t="n">
        <v>0</v>
      </c>
      <c r="T616" t="inlineStr">
        <is>
          <t>BSA</t>
        </is>
      </c>
      <c r="U616" t="inlineStr">
        <is>
          <t>BSA</t>
        </is>
      </c>
    </row>
    <row r="617">
      <c r="C617" t="inlineStr">
        <is>
          <t>BSA</t>
        </is>
      </c>
      <c r="D617" t="inlineStr">
        <is>
          <t>BSA</t>
        </is>
      </c>
      <c r="E617" t="inlineStr">
        <is>
          <t>당월</t>
        </is>
      </c>
      <c r="F617" t="inlineStr">
        <is>
          <t>11월 1주차</t>
        </is>
      </c>
      <c r="G617" t="inlineStr">
        <is>
          <t>네이버</t>
        </is>
      </c>
      <c r="H617" s="16" t="n">
        <v>45237</v>
      </c>
      <c r="I617" t="inlineStr">
        <is>
          <t>PC</t>
        </is>
      </c>
      <c r="J617" t="inlineStr">
        <is>
          <t>00.브랜드검색PCMO</t>
        </is>
      </c>
      <c r="K617" t="inlineStr">
        <is>
          <t>01.PC브랜드검색</t>
        </is>
      </c>
      <c r="M617" t="n">
        <v>0</v>
      </c>
      <c r="N617" t="n">
        <v>0</v>
      </c>
      <c r="O617" t="n">
        <v>36666.66666666666</v>
      </c>
      <c r="P617" t="n">
        <v>0</v>
      </c>
      <c r="Q617" t="n">
        <v>0</v>
      </c>
      <c r="R617" t="n">
        <v>0</v>
      </c>
      <c r="S617" t="n">
        <v>0</v>
      </c>
      <c r="T617" t="inlineStr">
        <is>
          <t>BSA</t>
        </is>
      </c>
      <c r="U617" t="inlineStr">
        <is>
          <t>BSA</t>
        </is>
      </c>
    </row>
    <row r="618">
      <c r="C618" t="inlineStr">
        <is>
          <t>BSA</t>
        </is>
      </c>
      <c r="D618" t="inlineStr">
        <is>
          <t>BSA</t>
        </is>
      </c>
      <c r="E618" t="inlineStr">
        <is>
          <t>당월</t>
        </is>
      </c>
      <c r="F618" t="inlineStr">
        <is>
          <t>11월 1주차</t>
        </is>
      </c>
      <c r="G618" t="inlineStr">
        <is>
          <t>네이버</t>
        </is>
      </c>
      <c r="H618" s="16" t="n">
        <v>45237</v>
      </c>
      <c r="I618" t="inlineStr">
        <is>
          <t>MO</t>
        </is>
      </c>
      <c r="J618" t="inlineStr">
        <is>
          <t>00.브랜드검색PCMO</t>
        </is>
      </c>
      <c r="K618" t="inlineStr">
        <is>
          <t>01.MO브랜드검색</t>
        </is>
      </c>
      <c r="M618" t="n">
        <v>0</v>
      </c>
      <c r="N618" t="n">
        <v>0</v>
      </c>
      <c r="O618" t="n">
        <v>51333.33333333334</v>
      </c>
      <c r="P618" t="n">
        <v>0</v>
      </c>
      <c r="Q618" t="n">
        <v>0</v>
      </c>
      <c r="R618" t="n">
        <v>0</v>
      </c>
      <c r="S618" t="n">
        <v>0</v>
      </c>
      <c r="T618" t="inlineStr">
        <is>
          <t>BSA</t>
        </is>
      </c>
      <c r="U618" t="inlineStr">
        <is>
          <t>BSA</t>
        </is>
      </c>
    </row>
    <row r="619">
      <c r="C619" t="inlineStr">
        <is>
          <t>BSA</t>
        </is>
      </c>
      <c r="D619" t="inlineStr">
        <is>
          <t>BSA</t>
        </is>
      </c>
      <c r="E619" t="inlineStr">
        <is>
          <t>당월</t>
        </is>
      </c>
      <c r="F619" t="inlineStr">
        <is>
          <t>11월 1주차</t>
        </is>
      </c>
      <c r="G619" t="inlineStr">
        <is>
          <t>네이버</t>
        </is>
      </c>
      <c r="H619" s="16" t="n">
        <v>45238</v>
      </c>
      <c r="I619" t="inlineStr">
        <is>
          <t>PC</t>
        </is>
      </c>
      <c r="J619" t="inlineStr">
        <is>
          <t>00.브랜드검색PCMO</t>
        </is>
      </c>
      <c r="K619" t="inlineStr">
        <is>
          <t>01.PC브랜드검색</t>
        </is>
      </c>
      <c r="M619" t="n">
        <v>0</v>
      </c>
      <c r="N619" t="n">
        <v>0</v>
      </c>
      <c r="O619" t="n">
        <v>36666.66666666666</v>
      </c>
      <c r="P619" t="n">
        <v>0</v>
      </c>
      <c r="Q619" t="n">
        <v>0</v>
      </c>
      <c r="R619" t="n">
        <v>0</v>
      </c>
      <c r="S619" t="n">
        <v>0</v>
      </c>
      <c r="T619" t="inlineStr">
        <is>
          <t>BSA</t>
        </is>
      </c>
      <c r="U619" t="inlineStr">
        <is>
          <t>BSA</t>
        </is>
      </c>
    </row>
    <row r="620">
      <c r="C620" t="inlineStr">
        <is>
          <t>BSA</t>
        </is>
      </c>
      <c r="D620" t="inlineStr">
        <is>
          <t>BSA</t>
        </is>
      </c>
      <c r="E620" t="inlineStr">
        <is>
          <t>당월</t>
        </is>
      </c>
      <c r="F620" t="inlineStr">
        <is>
          <t>11월 1주차</t>
        </is>
      </c>
      <c r="G620" t="inlineStr">
        <is>
          <t>네이버</t>
        </is>
      </c>
      <c r="H620" s="16" t="n">
        <v>45238</v>
      </c>
      <c r="I620" t="inlineStr">
        <is>
          <t>MO</t>
        </is>
      </c>
      <c r="J620" t="inlineStr">
        <is>
          <t>00.브랜드검색PCMO</t>
        </is>
      </c>
      <c r="K620" t="inlineStr">
        <is>
          <t>01.MO브랜드검색</t>
        </is>
      </c>
      <c r="M620" t="n">
        <v>0</v>
      </c>
      <c r="N620" t="n">
        <v>0</v>
      </c>
      <c r="O620" t="n">
        <v>51333.33333333334</v>
      </c>
      <c r="P620" t="n">
        <v>0</v>
      </c>
      <c r="Q620" t="n">
        <v>0</v>
      </c>
      <c r="R620" t="n">
        <v>0</v>
      </c>
      <c r="S620" t="n">
        <v>0</v>
      </c>
      <c r="T620" t="inlineStr">
        <is>
          <t>BSA</t>
        </is>
      </c>
      <c r="U620" t="inlineStr">
        <is>
          <t>BSA</t>
        </is>
      </c>
    </row>
    <row r="621">
      <c r="C621" t="inlineStr">
        <is>
          <t>BSA</t>
        </is>
      </c>
      <c r="D621" t="inlineStr">
        <is>
          <t>BSA</t>
        </is>
      </c>
      <c r="E621" t="inlineStr">
        <is>
          <t>당월</t>
        </is>
      </c>
      <c r="F621" t="inlineStr">
        <is>
          <t>11월 1주차</t>
        </is>
      </c>
      <c r="G621" t="inlineStr">
        <is>
          <t>네이버</t>
        </is>
      </c>
      <c r="H621" s="16" t="n">
        <v>45239</v>
      </c>
      <c r="I621" t="inlineStr">
        <is>
          <t>PC</t>
        </is>
      </c>
      <c r="J621" t="inlineStr">
        <is>
          <t>00.브랜드검색PCMO</t>
        </is>
      </c>
      <c r="K621" t="inlineStr">
        <is>
          <t>01.PC브랜드검색</t>
        </is>
      </c>
      <c r="M621" t="n">
        <v>0</v>
      </c>
      <c r="N621" t="n">
        <v>0</v>
      </c>
      <c r="O621" t="n">
        <v>36666.66666666666</v>
      </c>
      <c r="P621" t="n">
        <v>0</v>
      </c>
      <c r="Q621" t="n">
        <v>0</v>
      </c>
      <c r="R621" t="n">
        <v>0</v>
      </c>
      <c r="S621" t="n">
        <v>0</v>
      </c>
      <c r="T621" t="inlineStr">
        <is>
          <t>BSA</t>
        </is>
      </c>
      <c r="U621" t="inlineStr">
        <is>
          <t>BSA</t>
        </is>
      </c>
    </row>
    <row r="622">
      <c r="C622" t="inlineStr">
        <is>
          <t>BSA</t>
        </is>
      </c>
      <c r="D622" t="inlineStr">
        <is>
          <t>BSA</t>
        </is>
      </c>
      <c r="E622" t="inlineStr">
        <is>
          <t>당월</t>
        </is>
      </c>
      <c r="F622" t="inlineStr">
        <is>
          <t>11월 1주차</t>
        </is>
      </c>
      <c r="G622" t="inlineStr">
        <is>
          <t>네이버</t>
        </is>
      </c>
      <c r="H622" s="16" t="n">
        <v>45239</v>
      </c>
      <c r="I622" t="inlineStr">
        <is>
          <t>MO</t>
        </is>
      </c>
      <c r="J622" t="inlineStr">
        <is>
          <t>00.브랜드검색PCMO</t>
        </is>
      </c>
      <c r="K622" t="inlineStr">
        <is>
          <t>01.MO브랜드검색</t>
        </is>
      </c>
      <c r="M622" t="n">
        <v>0</v>
      </c>
      <c r="N622" t="n">
        <v>0</v>
      </c>
      <c r="O622" t="n">
        <v>51333.33333333334</v>
      </c>
      <c r="P622" t="n">
        <v>0</v>
      </c>
      <c r="Q622" t="n">
        <v>0</v>
      </c>
      <c r="R622" t="n">
        <v>0</v>
      </c>
      <c r="S622" t="n">
        <v>0</v>
      </c>
      <c r="T622" t="inlineStr">
        <is>
          <t>BSA</t>
        </is>
      </c>
      <c r="U622" t="inlineStr">
        <is>
          <t>BSA</t>
        </is>
      </c>
    </row>
    <row r="623">
      <c r="C623" t="inlineStr">
        <is>
          <t>BSA</t>
        </is>
      </c>
      <c r="D623" t="inlineStr">
        <is>
          <t>BSA</t>
        </is>
      </c>
      <c r="E623" t="inlineStr">
        <is>
          <t>당월</t>
        </is>
      </c>
      <c r="F623" t="inlineStr">
        <is>
          <t>11월 1주차</t>
        </is>
      </c>
      <c r="G623" t="inlineStr">
        <is>
          <t>네이버</t>
        </is>
      </c>
      <c r="H623" s="16" t="n">
        <v>45240</v>
      </c>
      <c r="I623" t="inlineStr">
        <is>
          <t>PC</t>
        </is>
      </c>
      <c r="J623" t="inlineStr">
        <is>
          <t>00.브랜드검색PCMO</t>
        </is>
      </c>
      <c r="K623" t="inlineStr">
        <is>
          <t>01.PC브랜드검색</t>
        </is>
      </c>
      <c r="M623" t="n">
        <v>0</v>
      </c>
      <c r="N623" t="n">
        <v>0</v>
      </c>
      <c r="O623" t="n">
        <v>36666.66666666666</v>
      </c>
      <c r="P623" t="n">
        <v>0</v>
      </c>
      <c r="Q623" t="n">
        <v>0</v>
      </c>
      <c r="R623" t="n">
        <v>0</v>
      </c>
      <c r="S623" t="n">
        <v>0</v>
      </c>
      <c r="T623" t="inlineStr">
        <is>
          <t>BSA</t>
        </is>
      </c>
      <c r="U623" t="inlineStr">
        <is>
          <t>BSA</t>
        </is>
      </c>
    </row>
    <row r="624">
      <c r="C624" t="inlineStr">
        <is>
          <t>BSA</t>
        </is>
      </c>
      <c r="D624" t="inlineStr">
        <is>
          <t>BSA</t>
        </is>
      </c>
      <c r="E624" t="inlineStr">
        <is>
          <t>당월</t>
        </is>
      </c>
      <c r="F624" t="inlineStr">
        <is>
          <t>11월 1주차</t>
        </is>
      </c>
      <c r="G624" t="inlineStr">
        <is>
          <t>네이버</t>
        </is>
      </c>
      <c r="H624" s="16" t="n">
        <v>45240</v>
      </c>
      <c r="I624" t="inlineStr">
        <is>
          <t>MO</t>
        </is>
      </c>
      <c r="J624" t="inlineStr">
        <is>
          <t>00.브랜드검색PCMO</t>
        </is>
      </c>
      <c r="K624" t="inlineStr">
        <is>
          <t>01.MO브랜드검색</t>
        </is>
      </c>
      <c r="M624" t="n">
        <v>0</v>
      </c>
      <c r="N624" t="n">
        <v>0</v>
      </c>
      <c r="O624" t="n">
        <v>51333.33333333334</v>
      </c>
      <c r="P624" t="n">
        <v>0</v>
      </c>
      <c r="Q624" t="n">
        <v>0</v>
      </c>
      <c r="R624" t="n">
        <v>0</v>
      </c>
      <c r="S624" t="n">
        <v>0</v>
      </c>
      <c r="T624" t="inlineStr">
        <is>
          <t>BSA</t>
        </is>
      </c>
      <c r="U624" t="inlineStr">
        <is>
          <t>BSA</t>
        </is>
      </c>
    </row>
    <row r="625">
      <c r="C625" t="inlineStr">
        <is>
          <t>BSA</t>
        </is>
      </c>
      <c r="D625" t="inlineStr">
        <is>
          <t>BSA</t>
        </is>
      </c>
      <c r="E625" t="inlineStr">
        <is>
          <t>당월</t>
        </is>
      </c>
      <c r="F625" t="inlineStr">
        <is>
          <t>11월 1주차</t>
        </is>
      </c>
      <c r="G625" t="inlineStr">
        <is>
          <t>네이버</t>
        </is>
      </c>
      <c r="H625" s="16" t="n">
        <v>45241</v>
      </c>
      <c r="I625" t="inlineStr">
        <is>
          <t>PC</t>
        </is>
      </c>
      <c r="J625" t="inlineStr">
        <is>
          <t>00.브랜드검색PCMO</t>
        </is>
      </c>
      <c r="K625" t="inlineStr">
        <is>
          <t>01.PC브랜드검색</t>
        </is>
      </c>
      <c r="M625" t="n">
        <v>0</v>
      </c>
      <c r="N625" t="n">
        <v>0</v>
      </c>
      <c r="O625" t="n">
        <v>36666.66666666666</v>
      </c>
      <c r="P625" t="n">
        <v>0</v>
      </c>
      <c r="Q625" t="n">
        <v>0</v>
      </c>
      <c r="R625" t="n">
        <v>0</v>
      </c>
      <c r="S625" t="n">
        <v>0</v>
      </c>
      <c r="T625" t="inlineStr">
        <is>
          <t>BSA</t>
        </is>
      </c>
      <c r="U625" t="inlineStr">
        <is>
          <t>BSA</t>
        </is>
      </c>
    </row>
    <row r="626">
      <c r="C626" t="inlineStr">
        <is>
          <t>BSA</t>
        </is>
      </c>
      <c r="D626" t="inlineStr">
        <is>
          <t>BSA</t>
        </is>
      </c>
      <c r="E626" t="inlineStr">
        <is>
          <t>당월</t>
        </is>
      </c>
      <c r="F626" t="inlineStr">
        <is>
          <t>11월 1주차</t>
        </is>
      </c>
      <c r="G626" t="inlineStr">
        <is>
          <t>네이버</t>
        </is>
      </c>
      <c r="H626" s="16" t="n">
        <v>45241</v>
      </c>
      <c r="I626" t="inlineStr">
        <is>
          <t>MO</t>
        </is>
      </c>
      <c r="J626" t="inlineStr">
        <is>
          <t>00.브랜드검색PCMO</t>
        </is>
      </c>
      <c r="K626" t="inlineStr">
        <is>
          <t>01.MO브랜드검색</t>
        </is>
      </c>
      <c r="M626" t="n">
        <v>0</v>
      </c>
      <c r="N626" t="n">
        <v>0</v>
      </c>
      <c r="O626" t="n">
        <v>51333.33333333334</v>
      </c>
      <c r="P626" t="n">
        <v>0</v>
      </c>
      <c r="Q626" t="n">
        <v>0</v>
      </c>
      <c r="R626" t="n">
        <v>0</v>
      </c>
      <c r="S626" t="n">
        <v>0</v>
      </c>
      <c r="T626" t="inlineStr">
        <is>
          <t>BSA</t>
        </is>
      </c>
      <c r="U626" t="inlineStr">
        <is>
          <t>BSA</t>
        </is>
      </c>
    </row>
    <row r="627">
      <c r="C627" t="inlineStr">
        <is>
          <t>BSA</t>
        </is>
      </c>
      <c r="D627" t="inlineStr">
        <is>
          <t>BSA</t>
        </is>
      </c>
      <c r="E627" t="inlineStr">
        <is>
          <t>당월</t>
        </is>
      </c>
      <c r="F627" t="inlineStr">
        <is>
          <t>11월 1주차</t>
        </is>
      </c>
      <c r="G627" t="inlineStr">
        <is>
          <t>네이버</t>
        </is>
      </c>
      <c r="H627" s="16" t="n">
        <v>45242</v>
      </c>
      <c r="I627" t="inlineStr">
        <is>
          <t>PC</t>
        </is>
      </c>
      <c r="J627" t="inlineStr">
        <is>
          <t>00.브랜드검색PCMO</t>
        </is>
      </c>
      <c r="K627" t="inlineStr">
        <is>
          <t>01.PC브랜드검색</t>
        </is>
      </c>
      <c r="M627" t="n">
        <v>0</v>
      </c>
      <c r="N627" t="n">
        <v>0</v>
      </c>
      <c r="O627" t="n">
        <v>36666.66666666666</v>
      </c>
      <c r="P627" t="n">
        <v>0</v>
      </c>
      <c r="Q627" t="n">
        <v>0</v>
      </c>
      <c r="R627" t="n">
        <v>0</v>
      </c>
      <c r="S627" t="n">
        <v>0</v>
      </c>
      <c r="T627" t="inlineStr">
        <is>
          <t>BSA</t>
        </is>
      </c>
      <c r="U627" t="inlineStr">
        <is>
          <t>BSA</t>
        </is>
      </c>
    </row>
    <row r="628">
      <c r="C628" t="inlineStr">
        <is>
          <t>BSA</t>
        </is>
      </c>
      <c r="D628" t="inlineStr">
        <is>
          <t>BSA</t>
        </is>
      </c>
      <c r="E628" t="inlineStr">
        <is>
          <t>당월</t>
        </is>
      </c>
      <c r="F628" t="inlineStr">
        <is>
          <t>11월 1주차</t>
        </is>
      </c>
      <c r="G628" t="inlineStr">
        <is>
          <t>네이버</t>
        </is>
      </c>
      <c r="H628" s="16" t="n">
        <v>45242</v>
      </c>
      <c r="I628" t="inlineStr">
        <is>
          <t>MO</t>
        </is>
      </c>
      <c r="J628" t="inlineStr">
        <is>
          <t>00.브랜드검색PCMO</t>
        </is>
      </c>
      <c r="K628" t="inlineStr">
        <is>
          <t>01.MO브랜드검색</t>
        </is>
      </c>
      <c r="M628" t="n">
        <v>0</v>
      </c>
      <c r="N628" t="n">
        <v>0</v>
      </c>
      <c r="O628" t="n">
        <v>51333.33333333334</v>
      </c>
      <c r="P628" t="n">
        <v>0</v>
      </c>
      <c r="Q628" t="n">
        <v>0</v>
      </c>
      <c r="R628" t="n">
        <v>0</v>
      </c>
      <c r="S628" t="n">
        <v>0</v>
      </c>
      <c r="T628" t="inlineStr">
        <is>
          <t>BSA</t>
        </is>
      </c>
      <c r="U628" t="inlineStr">
        <is>
          <t>BSA</t>
        </is>
      </c>
    </row>
    <row r="630">
      <c r="H630" s="16" t="n"/>
    </row>
    <row r="631">
      <c r="H631" s="16" t="n"/>
    </row>
    <row r="632">
      <c r="C632" t="inlineStr">
        <is>
          <t>BSA</t>
        </is>
      </c>
      <c r="D632" t="inlineStr">
        <is>
          <t>BSA</t>
        </is>
      </c>
      <c r="E632" t="inlineStr">
        <is>
          <t>당월</t>
        </is>
      </c>
      <c r="F632" t="inlineStr">
        <is>
          <t>11월 3주차</t>
        </is>
      </c>
      <c r="G632" t="inlineStr">
        <is>
          <t>네이버</t>
        </is>
      </c>
      <c r="H632" s="16" t="n">
        <v>45243</v>
      </c>
      <c r="I632" t="inlineStr">
        <is>
          <t>PC</t>
        </is>
      </c>
      <c r="J632" t="inlineStr">
        <is>
          <t>00.브랜드검색PCMO</t>
        </is>
      </c>
      <c r="K632" t="inlineStr">
        <is>
          <t>01.PC브랜드검색</t>
        </is>
      </c>
      <c r="M632" t="n">
        <v>0</v>
      </c>
      <c r="N632" t="n">
        <v>0</v>
      </c>
      <c r="O632" t="n">
        <v>36666.66666666666</v>
      </c>
      <c r="P632" t="n">
        <v>0</v>
      </c>
      <c r="Q632" t="n">
        <v>0</v>
      </c>
      <c r="R632" t="n">
        <v>0</v>
      </c>
      <c r="S632" t="n">
        <v>0</v>
      </c>
      <c r="T632" t="inlineStr">
        <is>
          <t>BSA</t>
        </is>
      </c>
      <c r="U632" t="inlineStr">
        <is>
          <t>BSA</t>
        </is>
      </c>
      <c r="X632" s="16" t="n">
        <v>45249</v>
      </c>
    </row>
    <row r="633">
      <c r="C633" t="inlineStr">
        <is>
          <t>BSA</t>
        </is>
      </c>
      <c r="D633" t="inlineStr">
        <is>
          <t>BSA</t>
        </is>
      </c>
      <c r="E633" t="inlineStr">
        <is>
          <t>당월</t>
        </is>
      </c>
      <c r="F633" t="inlineStr">
        <is>
          <t>11월 3주차</t>
        </is>
      </c>
      <c r="G633" t="inlineStr">
        <is>
          <t>네이버</t>
        </is>
      </c>
      <c r="H633" s="16" t="n">
        <v>45243</v>
      </c>
      <c r="I633" t="inlineStr">
        <is>
          <t>MO</t>
        </is>
      </c>
      <c r="J633" t="inlineStr">
        <is>
          <t>00.브랜드검색PCMO</t>
        </is>
      </c>
      <c r="K633" t="inlineStr">
        <is>
          <t>01.MO브랜드검색</t>
        </is>
      </c>
      <c r="M633" t="n">
        <v>0</v>
      </c>
      <c r="N633" t="n">
        <v>0</v>
      </c>
      <c r="O633" t="n">
        <v>51333.33333333334</v>
      </c>
      <c r="P633" t="n">
        <v>0</v>
      </c>
      <c r="Q633" t="n">
        <v>0</v>
      </c>
      <c r="R633" t="n">
        <v>0</v>
      </c>
      <c r="S633" t="n">
        <v>0</v>
      </c>
      <c r="T633" t="inlineStr">
        <is>
          <t>BSA</t>
        </is>
      </c>
      <c r="U633" t="inlineStr">
        <is>
          <t>BSA</t>
        </is>
      </c>
      <c r="X633" s="16" t="n">
        <v>45250</v>
      </c>
    </row>
    <row r="634">
      <c r="C634" t="inlineStr">
        <is>
          <t>BSA</t>
        </is>
      </c>
      <c r="D634" t="inlineStr">
        <is>
          <t>BSA</t>
        </is>
      </c>
      <c r="E634" t="inlineStr">
        <is>
          <t>당월</t>
        </is>
      </c>
      <c r="F634" t="inlineStr">
        <is>
          <t>11월 3주차</t>
        </is>
      </c>
      <c r="G634" t="inlineStr">
        <is>
          <t>네이버</t>
        </is>
      </c>
      <c r="H634" s="16" t="n">
        <v>45244</v>
      </c>
      <c r="I634" t="inlineStr">
        <is>
          <t>PC</t>
        </is>
      </c>
      <c r="J634" t="inlineStr">
        <is>
          <t>00.브랜드검색PCMO</t>
        </is>
      </c>
      <c r="K634" t="inlineStr">
        <is>
          <t>01.PC브랜드검색</t>
        </is>
      </c>
      <c r="M634" t="n">
        <v>0</v>
      </c>
      <c r="N634" t="n">
        <v>0</v>
      </c>
      <c r="O634" t="n">
        <v>36666.66666666666</v>
      </c>
      <c r="P634" t="n">
        <v>0</v>
      </c>
      <c r="Q634" t="n">
        <v>0</v>
      </c>
      <c r="R634" t="n">
        <v>0</v>
      </c>
      <c r="S634" t="n">
        <v>0</v>
      </c>
      <c r="T634" t="inlineStr">
        <is>
          <t>BSA</t>
        </is>
      </c>
      <c r="U634" t="inlineStr">
        <is>
          <t>BSA</t>
        </is>
      </c>
      <c r="X634" s="16" t="n">
        <v>45251</v>
      </c>
    </row>
    <row r="635">
      <c r="C635" t="inlineStr">
        <is>
          <t>BSA</t>
        </is>
      </c>
      <c r="D635" t="inlineStr">
        <is>
          <t>BSA</t>
        </is>
      </c>
      <c r="E635" t="inlineStr">
        <is>
          <t>당월</t>
        </is>
      </c>
      <c r="F635" t="inlineStr">
        <is>
          <t>11월 3주차</t>
        </is>
      </c>
      <c r="G635" t="inlineStr">
        <is>
          <t>네이버</t>
        </is>
      </c>
      <c r="H635" s="16" t="n">
        <v>45244</v>
      </c>
      <c r="I635" t="inlineStr">
        <is>
          <t>MO</t>
        </is>
      </c>
      <c r="J635" t="inlineStr">
        <is>
          <t>00.브랜드검색PCMO</t>
        </is>
      </c>
      <c r="K635" t="inlineStr">
        <is>
          <t>01.MO브랜드검색</t>
        </is>
      </c>
      <c r="M635" t="n">
        <v>0</v>
      </c>
      <c r="N635" t="n">
        <v>0</v>
      </c>
      <c r="O635" t="n">
        <v>51333.33333333334</v>
      </c>
      <c r="P635" t="n">
        <v>0</v>
      </c>
      <c r="Q635" t="n">
        <v>0</v>
      </c>
      <c r="R635" t="n">
        <v>0</v>
      </c>
      <c r="S635" t="n">
        <v>0</v>
      </c>
      <c r="T635" t="inlineStr">
        <is>
          <t>BSA</t>
        </is>
      </c>
      <c r="U635" t="inlineStr">
        <is>
          <t>BSA</t>
        </is>
      </c>
      <c r="X635" s="16" t="n">
        <v>45252</v>
      </c>
    </row>
    <row r="636">
      <c r="C636" t="inlineStr">
        <is>
          <t>BSA</t>
        </is>
      </c>
      <c r="D636" t="inlineStr">
        <is>
          <t>BSA</t>
        </is>
      </c>
      <c r="E636" t="inlineStr">
        <is>
          <t>당월</t>
        </is>
      </c>
      <c r="F636" t="inlineStr">
        <is>
          <t>11월 3주차</t>
        </is>
      </c>
      <c r="G636" t="inlineStr">
        <is>
          <t>네이버</t>
        </is>
      </c>
      <c r="H636" s="16" t="n">
        <v>45245</v>
      </c>
      <c r="I636" t="inlineStr">
        <is>
          <t>PC</t>
        </is>
      </c>
      <c r="J636" t="inlineStr">
        <is>
          <t>00.브랜드검색PCMO</t>
        </is>
      </c>
      <c r="K636" t="inlineStr">
        <is>
          <t>01.PC브랜드검색</t>
        </is>
      </c>
      <c r="M636" t="n">
        <v>0</v>
      </c>
      <c r="N636" t="n">
        <v>0</v>
      </c>
      <c r="O636" t="n">
        <v>36666.66666666666</v>
      </c>
      <c r="P636" t="n">
        <v>0</v>
      </c>
      <c r="Q636" t="n">
        <v>0</v>
      </c>
      <c r="R636" t="n">
        <v>0</v>
      </c>
      <c r="S636" t="n">
        <v>0</v>
      </c>
      <c r="T636" t="inlineStr">
        <is>
          <t>BSA</t>
        </is>
      </c>
      <c r="U636" t="inlineStr">
        <is>
          <t>BSA</t>
        </is>
      </c>
      <c r="X636" s="16" t="n">
        <v>45253</v>
      </c>
    </row>
    <row r="637">
      <c r="C637" t="inlineStr">
        <is>
          <t>BSA</t>
        </is>
      </c>
      <c r="D637" t="inlineStr">
        <is>
          <t>BSA</t>
        </is>
      </c>
      <c r="E637" t="inlineStr">
        <is>
          <t>당월</t>
        </is>
      </c>
      <c r="F637" t="inlineStr">
        <is>
          <t>11월 3주차</t>
        </is>
      </c>
      <c r="G637" t="inlineStr">
        <is>
          <t>네이버</t>
        </is>
      </c>
      <c r="H637" s="16" t="n">
        <v>45245</v>
      </c>
      <c r="I637" t="inlineStr">
        <is>
          <t>MO</t>
        </is>
      </c>
      <c r="J637" t="inlineStr">
        <is>
          <t>00.브랜드검색PCMO</t>
        </is>
      </c>
      <c r="K637" t="inlineStr">
        <is>
          <t>01.MO브랜드검색</t>
        </is>
      </c>
      <c r="M637" t="n">
        <v>0</v>
      </c>
      <c r="N637" t="n">
        <v>0</v>
      </c>
      <c r="O637" t="n">
        <v>51333.33333333334</v>
      </c>
      <c r="P637" t="n">
        <v>0</v>
      </c>
      <c r="Q637" t="n">
        <v>0</v>
      </c>
      <c r="R637" t="n">
        <v>0</v>
      </c>
      <c r="S637" t="n">
        <v>0</v>
      </c>
      <c r="T637" t="inlineStr">
        <is>
          <t>BSA</t>
        </is>
      </c>
      <c r="U637" t="inlineStr">
        <is>
          <t>BSA</t>
        </is>
      </c>
      <c r="X637" s="16" t="n">
        <v>45254</v>
      </c>
    </row>
    <row r="638">
      <c r="C638" t="inlineStr">
        <is>
          <t>BSA</t>
        </is>
      </c>
      <c r="D638" t="inlineStr">
        <is>
          <t>BSA</t>
        </is>
      </c>
      <c r="E638" t="inlineStr">
        <is>
          <t>당월</t>
        </is>
      </c>
      <c r="F638" t="inlineStr">
        <is>
          <t>11월 3주차</t>
        </is>
      </c>
      <c r="G638" t="inlineStr">
        <is>
          <t>네이버</t>
        </is>
      </c>
      <c r="H638" s="16" t="n">
        <v>45246</v>
      </c>
      <c r="I638" t="inlineStr">
        <is>
          <t>PC</t>
        </is>
      </c>
      <c r="J638" t="inlineStr">
        <is>
          <t>00.브랜드검색PCMO</t>
        </is>
      </c>
      <c r="K638" t="inlineStr">
        <is>
          <t>01.PC브랜드검색</t>
        </is>
      </c>
      <c r="M638" t="n">
        <v>0</v>
      </c>
      <c r="N638" t="n">
        <v>0</v>
      </c>
      <c r="O638" t="n">
        <v>36666.66666666666</v>
      </c>
      <c r="P638" t="n">
        <v>0</v>
      </c>
      <c r="Q638" t="n">
        <v>0</v>
      </c>
      <c r="R638" t="n">
        <v>0</v>
      </c>
      <c r="S638" t="n">
        <v>0</v>
      </c>
      <c r="T638" t="inlineStr">
        <is>
          <t>BSA</t>
        </is>
      </c>
      <c r="U638" t="inlineStr">
        <is>
          <t>BSA</t>
        </is>
      </c>
      <c r="X638" s="16" t="n">
        <v>45255</v>
      </c>
    </row>
    <row r="639">
      <c r="C639" t="inlineStr">
        <is>
          <t>BSA</t>
        </is>
      </c>
      <c r="D639" t="inlineStr">
        <is>
          <t>BSA</t>
        </is>
      </c>
      <c r="E639" t="inlineStr">
        <is>
          <t>당월</t>
        </is>
      </c>
      <c r="F639" t="inlineStr">
        <is>
          <t>11월 3주차</t>
        </is>
      </c>
      <c r="G639" t="inlineStr">
        <is>
          <t>네이버</t>
        </is>
      </c>
      <c r="H639" s="16" t="n">
        <v>45246</v>
      </c>
      <c r="I639" t="inlineStr">
        <is>
          <t>MO</t>
        </is>
      </c>
      <c r="J639" t="inlineStr">
        <is>
          <t>00.브랜드검색PCMO</t>
        </is>
      </c>
      <c r="K639" t="inlineStr">
        <is>
          <t>01.MO브랜드검색</t>
        </is>
      </c>
      <c r="M639" t="n">
        <v>0</v>
      </c>
      <c r="N639" t="n">
        <v>0</v>
      </c>
      <c r="O639" t="n">
        <v>51333.33333333334</v>
      </c>
      <c r="P639" t="n">
        <v>0</v>
      </c>
      <c r="Q639" t="n">
        <v>0</v>
      </c>
      <c r="R639" t="n">
        <v>0</v>
      </c>
      <c r="S639" t="n">
        <v>0</v>
      </c>
      <c r="T639" t="inlineStr">
        <is>
          <t>BSA</t>
        </is>
      </c>
      <c r="U639" t="inlineStr">
        <is>
          <t>BSA</t>
        </is>
      </c>
      <c r="X639" s="16" t="n">
        <v>45256</v>
      </c>
    </row>
    <row r="640">
      <c r="C640" t="inlineStr">
        <is>
          <t>BSA</t>
        </is>
      </c>
      <c r="D640" t="inlineStr">
        <is>
          <t>BSA</t>
        </is>
      </c>
      <c r="E640" t="inlineStr">
        <is>
          <t>당월</t>
        </is>
      </c>
      <c r="F640" t="inlineStr">
        <is>
          <t>11월 3주차</t>
        </is>
      </c>
      <c r="G640" t="inlineStr">
        <is>
          <t>네이버</t>
        </is>
      </c>
      <c r="H640" s="16" t="n">
        <v>45247</v>
      </c>
      <c r="I640" t="inlineStr">
        <is>
          <t>PC</t>
        </is>
      </c>
      <c r="J640" t="inlineStr">
        <is>
          <t>00.브랜드검색PCMO</t>
        </is>
      </c>
      <c r="K640" t="inlineStr">
        <is>
          <t>01.PC브랜드검색</t>
        </is>
      </c>
      <c r="M640" t="n">
        <v>0</v>
      </c>
      <c r="N640" t="n">
        <v>0</v>
      </c>
      <c r="O640" t="n">
        <v>36666.66666666666</v>
      </c>
      <c r="P640" t="n">
        <v>0</v>
      </c>
      <c r="Q640" t="n">
        <v>0</v>
      </c>
      <c r="R640" t="n">
        <v>0</v>
      </c>
      <c r="S640" t="n">
        <v>0</v>
      </c>
      <c r="T640" t="inlineStr">
        <is>
          <t>BSA</t>
        </is>
      </c>
      <c r="U640" t="inlineStr">
        <is>
          <t>BSA</t>
        </is>
      </c>
      <c r="X640" s="16" t="n">
        <v>45257</v>
      </c>
    </row>
    <row r="641">
      <c r="C641" t="inlineStr">
        <is>
          <t>BSA</t>
        </is>
      </c>
      <c r="D641" t="inlineStr">
        <is>
          <t>BSA</t>
        </is>
      </c>
      <c r="E641" t="inlineStr">
        <is>
          <t>당월</t>
        </is>
      </c>
      <c r="F641" t="inlineStr">
        <is>
          <t>11월 3주차</t>
        </is>
      </c>
      <c r="G641" t="inlineStr">
        <is>
          <t>네이버</t>
        </is>
      </c>
      <c r="H641" s="16" t="n">
        <v>45247</v>
      </c>
      <c r="I641" t="inlineStr">
        <is>
          <t>MO</t>
        </is>
      </c>
      <c r="J641" t="inlineStr">
        <is>
          <t>00.브랜드검색PCMO</t>
        </is>
      </c>
      <c r="K641" t="inlineStr">
        <is>
          <t>01.MO브랜드검색</t>
        </is>
      </c>
      <c r="M641" t="n">
        <v>0</v>
      </c>
      <c r="N641" t="n">
        <v>0</v>
      </c>
      <c r="O641" t="n">
        <v>51333.33333333334</v>
      </c>
      <c r="P641" t="n">
        <v>0</v>
      </c>
      <c r="Q641" t="n">
        <v>0</v>
      </c>
      <c r="R641" t="n">
        <v>0</v>
      </c>
      <c r="S641" t="n">
        <v>0</v>
      </c>
      <c r="T641" t="inlineStr">
        <is>
          <t>BSA</t>
        </is>
      </c>
      <c r="U641" t="inlineStr">
        <is>
          <t>BSA</t>
        </is>
      </c>
      <c r="X641" s="16" t="n">
        <v>45258</v>
      </c>
    </row>
    <row r="642">
      <c r="C642" t="inlineStr">
        <is>
          <t>BSA</t>
        </is>
      </c>
      <c r="D642" t="inlineStr">
        <is>
          <t>BSA</t>
        </is>
      </c>
      <c r="E642" t="inlineStr">
        <is>
          <t>당월</t>
        </is>
      </c>
      <c r="F642" t="inlineStr">
        <is>
          <t>11월 3주차</t>
        </is>
      </c>
      <c r="G642" t="inlineStr">
        <is>
          <t>네이버</t>
        </is>
      </c>
      <c r="H642" s="16" t="n">
        <v>45248</v>
      </c>
      <c r="I642" t="inlineStr">
        <is>
          <t>PC</t>
        </is>
      </c>
      <c r="J642" t="inlineStr">
        <is>
          <t>00.브랜드검색PCMO</t>
        </is>
      </c>
      <c r="K642" t="inlineStr">
        <is>
          <t>01.PC브랜드검색</t>
        </is>
      </c>
      <c r="M642" t="n">
        <v>0</v>
      </c>
      <c r="N642" t="n">
        <v>0</v>
      </c>
      <c r="O642" t="n">
        <v>36666.66666666666</v>
      </c>
      <c r="P642" t="n">
        <v>0</v>
      </c>
      <c r="Q642" t="n">
        <v>0</v>
      </c>
      <c r="R642" t="n">
        <v>0</v>
      </c>
      <c r="S642" t="n">
        <v>0</v>
      </c>
      <c r="T642" t="inlineStr">
        <is>
          <t>BSA</t>
        </is>
      </c>
      <c r="U642" t="inlineStr">
        <is>
          <t>BSA</t>
        </is>
      </c>
      <c r="X642" s="16" t="n">
        <v>45259</v>
      </c>
    </row>
    <row r="643">
      <c r="C643" t="inlineStr">
        <is>
          <t>BSA</t>
        </is>
      </c>
      <c r="D643" t="inlineStr">
        <is>
          <t>BSA</t>
        </is>
      </c>
      <c r="E643" t="inlineStr">
        <is>
          <t>당월</t>
        </is>
      </c>
      <c r="F643" t="inlineStr">
        <is>
          <t>11월 3주차</t>
        </is>
      </c>
      <c r="G643" t="inlineStr">
        <is>
          <t>네이버</t>
        </is>
      </c>
      <c r="H643" s="16" t="n">
        <v>45248</v>
      </c>
      <c r="I643" t="inlineStr">
        <is>
          <t>MO</t>
        </is>
      </c>
      <c r="J643" t="inlineStr">
        <is>
          <t>00.브랜드검색PCMO</t>
        </is>
      </c>
      <c r="K643" t="inlineStr">
        <is>
          <t>01.MO브랜드검색</t>
        </is>
      </c>
      <c r="M643" t="n">
        <v>0</v>
      </c>
      <c r="N643" t="n">
        <v>0</v>
      </c>
      <c r="O643" t="n">
        <v>51333.33333333334</v>
      </c>
      <c r="P643" t="n">
        <v>0</v>
      </c>
      <c r="Q643" t="n">
        <v>0</v>
      </c>
      <c r="R643" t="n">
        <v>0</v>
      </c>
      <c r="S643" t="n">
        <v>0</v>
      </c>
      <c r="T643" t="inlineStr">
        <is>
          <t>BSA</t>
        </is>
      </c>
      <c r="U643" t="inlineStr">
        <is>
          <t>BSA</t>
        </is>
      </c>
      <c r="X643" s="16" t="n">
        <v>45260</v>
      </c>
    </row>
    <row r="644">
      <c r="C644" t="inlineStr">
        <is>
          <t>BSA</t>
        </is>
      </c>
      <c r="D644" t="inlineStr">
        <is>
          <t>BSA</t>
        </is>
      </c>
      <c r="E644" t="inlineStr">
        <is>
          <t>당월</t>
        </is>
      </c>
      <c r="F644" t="inlineStr">
        <is>
          <t>11월 3주차</t>
        </is>
      </c>
      <c r="G644" t="inlineStr">
        <is>
          <t>네이버</t>
        </is>
      </c>
      <c r="H644" s="16" t="n">
        <v>45249</v>
      </c>
      <c r="I644" t="inlineStr">
        <is>
          <t>PC</t>
        </is>
      </c>
      <c r="J644" t="inlineStr">
        <is>
          <t>00.브랜드검색PCMO</t>
        </is>
      </c>
      <c r="K644" t="inlineStr">
        <is>
          <t>01.PC브랜드검색</t>
        </is>
      </c>
      <c r="M644" t="n">
        <v>0</v>
      </c>
      <c r="N644" t="n">
        <v>0</v>
      </c>
      <c r="O644" t="n">
        <v>36666.66666666666</v>
      </c>
      <c r="P644" t="n">
        <v>0</v>
      </c>
      <c r="Q644" t="n">
        <v>0</v>
      </c>
      <c r="R644" t="n">
        <v>0</v>
      </c>
      <c r="S644" t="n">
        <v>0</v>
      </c>
      <c r="T644" t="inlineStr">
        <is>
          <t>BSA</t>
        </is>
      </c>
      <c r="U644" t="inlineStr">
        <is>
          <t>BSA</t>
        </is>
      </c>
      <c r="X644" s="16" t="n">
        <v>45261</v>
      </c>
    </row>
    <row r="645">
      <c r="C645" t="inlineStr">
        <is>
          <t>BSA</t>
        </is>
      </c>
      <c r="D645" t="inlineStr">
        <is>
          <t>BSA</t>
        </is>
      </c>
      <c r="E645" t="inlineStr">
        <is>
          <t>당월</t>
        </is>
      </c>
      <c r="F645" t="inlineStr">
        <is>
          <t>11월 3주차</t>
        </is>
      </c>
      <c r="G645" t="inlineStr">
        <is>
          <t>네이버</t>
        </is>
      </c>
      <c r="H645" s="16" t="n">
        <v>45249</v>
      </c>
      <c r="I645" t="inlineStr">
        <is>
          <t>MO</t>
        </is>
      </c>
      <c r="J645" t="inlineStr">
        <is>
          <t>00.브랜드검색PCMO</t>
        </is>
      </c>
      <c r="K645" t="inlineStr">
        <is>
          <t>01.MO브랜드검색</t>
        </is>
      </c>
      <c r="M645" t="n">
        <v>0</v>
      </c>
      <c r="N645" t="n">
        <v>0</v>
      </c>
      <c r="O645" t="n">
        <v>51333.33333333334</v>
      </c>
      <c r="P645" t="n">
        <v>0</v>
      </c>
      <c r="Q645" t="n">
        <v>0</v>
      </c>
      <c r="R645" t="n">
        <v>0</v>
      </c>
      <c r="S645" t="n">
        <v>0</v>
      </c>
      <c r="T645" t="inlineStr">
        <is>
          <t>BSA</t>
        </is>
      </c>
      <c r="U645" t="inlineStr">
        <is>
          <t>BSA</t>
        </is>
      </c>
      <c r="X645" s="16" t="n">
        <v>45262</v>
      </c>
    </row>
    <row r="646">
      <c r="H646" s="16" t="n"/>
      <c r="X646" s="16" t="n">
        <v>45263</v>
      </c>
    </row>
    <row r="647">
      <c r="H647" s="16" t="n"/>
      <c r="X647" s="16" t="n">
        <v>45264</v>
      </c>
    </row>
    <row r="648">
      <c r="C648" t="inlineStr">
        <is>
          <t>BSA</t>
        </is>
      </c>
      <c r="D648" t="inlineStr">
        <is>
          <t>BSA</t>
        </is>
      </c>
      <c r="E648" t="inlineStr">
        <is>
          <t>당월</t>
        </is>
      </c>
      <c r="F648" t="inlineStr">
        <is>
          <t>11월 4주차</t>
        </is>
      </c>
      <c r="G648" t="inlineStr">
        <is>
          <t>네이버</t>
        </is>
      </c>
      <c r="H648" s="16" t="n">
        <v>45250</v>
      </c>
      <c r="I648" t="inlineStr">
        <is>
          <t>PC</t>
        </is>
      </c>
      <c r="J648" t="inlineStr">
        <is>
          <t>00.브랜드검색PCMO</t>
        </is>
      </c>
      <c r="K648" t="inlineStr">
        <is>
          <t>01.PC브랜드검색</t>
        </is>
      </c>
      <c r="M648" t="n">
        <v>0</v>
      </c>
      <c r="N648" t="n">
        <v>0</v>
      </c>
      <c r="O648" t="n">
        <v>36666.66666666666</v>
      </c>
      <c r="P648" t="n">
        <v>0</v>
      </c>
      <c r="Q648" t="n">
        <v>0</v>
      </c>
      <c r="R648" t="n">
        <v>0</v>
      </c>
      <c r="S648" t="n">
        <v>0</v>
      </c>
      <c r="T648" t="inlineStr">
        <is>
          <t>BSA</t>
        </is>
      </c>
      <c r="U648" t="inlineStr">
        <is>
          <t>BSA</t>
        </is>
      </c>
      <c r="X648" s="16" t="n">
        <v>45265</v>
      </c>
    </row>
    <row r="649">
      <c r="C649" t="inlineStr">
        <is>
          <t>BSA</t>
        </is>
      </c>
      <c r="D649" t="inlineStr">
        <is>
          <t>BSA</t>
        </is>
      </c>
      <c r="E649" t="inlineStr">
        <is>
          <t>당월</t>
        </is>
      </c>
      <c r="F649" t="inlineStr">
        <is>
          <t>11월 4주차</t>
        </is>
      </c>
      <c r="G649" t="inlineStr">
        <is>
          <t>네이버</t>
        </is>
      </c>
      <c r="H649" s="16" t="n">
        <v>45250</v>
      </c>
      <c r="I649" t="inlineStr">
        <is>
          <t>MO</t>
        </is>
      </c>
      <c r="J649" t="inlineStr">
        <is>
          <t>00.브랜드검색PCMO</t>
        </is>
      </c>
      <c r="K649" t="inlineStr">
        <is>
          <t>01.MO브랜드검색</t>
        </is>
      </c>
      <c r="M649" t="n">
        <v>0</v>
      </c>
      <c r="N649" t="n">
        <v>0</v>
      </c>
      <c r="O649" t="n">
        <v>51333.33333333334</v>
      </c>
      <c r="P649" t="n">
        <v>0</v>
      </c>
      <c r="Q649" t="n">
        <v>0</v>
      </c>
      <c r="R649" t="n">
        <v>0</v>
      </c>
      <c r="S649" t="n">
        <v>0</v>
      </c>
      <c r="T649" t="inlineStr">
        <is>
          <t>BSA</t>
        </is>
      </c>
      <c r="U649" t="inlineStr">
        <is>
          <t>BSA</t>
        </is>
      </c>
      <c r="X649" s="16" t="n">
        <v>45266</v>
      </c>
    </row>
    <row r="650">
      <c r="C650" t="inlineStr">
        <is>
          <t>BSA</t>
        </is>
      </c>
      <c r="D650" t="inlineStr">
        <is>
          <t>BSA</t>
        </is>
      </c>
      <c r="E650" t="inlineStr">
        <is>
          <t>당월</t>
        </is>
      </c>
      <c r="F650" t="inlineStr">
        <is>
          <t>11월 4주차</t>
        </is>
      </c>
      <c r="G650" t="inlineStr">
        <is>
          <t>네이버</t>
        </is>
      </c>
      <c r="H650" s="16" t="n">
        <v>45251</v>
      </c>
      <c r="I650" t="inlineStr">
        <is>
          <t>PC</t>
        </is>
      </c>
      <c r="J650" t="inlineStr">
        <is>
          <t>00.브랜드검색PCMO</t>
        </is>
      </c>
      <c r="K650" t="inlineStr">
        <is>
          <t>01.PC브랜드검색</t>
        </is>
      </c>
      <c r="M650" t="n">
        <v>0</v>
      </c>
      <c r="N650" t="n">
        <v>0</v>
      </c>
      <c r="O650" t="n">
        <v>36666.66666666666</v>
      </c>
      <c r="P650" t="n">
        <v>0</v>
      </c>
      <c r="Q650" t="n">
        <v>0</v>
      </c>
      <c r="R650" t="n">
        <v>0</v>
      </c>
      <c r="S650" t="n">
        <v>0</v>
      </c>
      <c r="T650" t="inlineStr">
        <is>
          <t>BSA</t>
        </is>
      </c>
      <c r="U650" t="inlineStr">
        <is>
          <t>BSA</t>
        </is>
      </c>
      <c r="X650" s="16" t="n">
        <v>45267</v>
      </c>
    </row>
    <row r="651">
      <c r="C651" t="inlineStr">
        <is>
          <t>BSA</t>
        </is>
      </c>
      <c r="D651" t="inlineStr">
        <is>
          <t>BSA</t>
        </is>
      </c>
      <c r="E651" t="inlineStr">
        <is>
          <t>당월</t>
        </is>
      </c>
      <c r="F651" t="inlineStr">
        <is>
          <t>11월 4주차</t>
        </is>
      </c>
      <c r="G651" t="inlineStr">
        <is>
          <t>네이버</t>
        </is>
      </c>
      <c r="H651" s="16" t="n">
        <v>45251</v>
      </c>
      <c r="I651" t="inlineStr">
        <is>
          <t>MO</t>
        </is>
      </c>
      <c r="J651" t="inlineStr">
        <is>
          <t>00.브랜드검색PCMO</t>
        </is>
      </c>
      <c r="K651" t="inlineStr">
        <is>
          <t>01.MO브랜드검색</t>
        </is>
      </c>
      <c r="M651" t="n">
        <v>0</v>
      </c>
      <c r="N651" t="n">
        <v>0</v>
      </c>
      <c r="O651" t="n">
        <v>51333.33333333334</v>
      </c>
      <c r="P651" t="n">
        <v>0</v>
      </c>
      <c r="Q651" t="n">
        <v>0</v>
      </c>
      <c r="R651" t="n">
        <v>0</v>
      </c>
      <c r="S651" t="n">
        <v>0</v>
      </c>
      <c r="T651" t="inlineStr">
        <is>
          <t>BSA</t>
        </is>
      </c>
      <c r="U651" t="inlineStr">
        <is>
          <t>BSA</t>
        </is>
      </c>
      <c r="X651" s="16" t="n">
        <v>45268</v>
      </c>
    </row>
    <row r="652">
      <c r="C652" t="inlineStr">
        <is>
          <t>BSA</t>
        </is>
      </c>
      <c r="D652" t="inlineStr">
        <is>
          <t>BSA</t>
        </is>
      </c>
      <c r="E652" t="inlineStr">
        <is>
          <t>당월</t>
        </is>
      </c>
      <c r="F652" t="inlineStr">
        <is>
          <t>11월 4주차</t>
        </is>
      </c>
      <c r="G652" t="inlineStr">
        <is>
          <t>네이버</t>
        </is>
      </c>
      <c r="H652" s="16" t="n">
        <v>45252</v>
      </c>
      <c r="I652" t="inlineStr">
        <is>
          <t>PC</t>
        </is>
      </c>
      <c r="J652" t="inlineStr">
        <is>
          <t>00.브랜드검색PCMO</t>
        </is>
      </c>
      <c r="K652" t="inlineStr">
        <is>
          <t>01.PC브랜드검색</t>
        </is>
      </c>
      <c r="M652" t="n">
        <v>0</v>
      </c>
      <c r="N652" t="n">
        <v>0</v>
      </c>
      <c r="O652" t="n">
        <v>36666.66666666666</v>
      </c>
      <c r="P652" t="n">
        <v>0</v>
      </c>
      <c r="Q652" t="n">
        <v>0</v>
      </c>
      <c r="R652" t="n">
        <v>0</v>
      </c>
      <c r="S652" t="n">
        <v>0</v>
      </c>
      <c r="T652" t="inlineStr">
        <is>
          <t>BSA</t>
        </is>
      </c>
      <c r="U652" t="inlineStr">
        <is>
          <t>BSA</t>
        </is>
      </c>
      <c r="X652" s="16" t="n">
        <v>45269</v>
      </c>
    </row>
    <row r="653">
      <c r="C653" t="inlineStr">
        <is>
          <t>BSA</t>
        </is>
      </c>
      <c r="D653" t="inlineStr">
        <is>
          <t>BSA</t>
        </is>
      </c>
      <c r="E653" t="inlineStr">
        <is>
          <t>당월</t>
        </is>
      </c>
      <c r="F653" t="inlineStr">
        <is>
          <t>11월 4주차</t>
        </is>
      </c>
      <c r="G653" t="inlineStr">
        <is>
          <t>네이버</t>
        </is>
      </c>
      <c r="H653" s="16" t="n">
        <v>45252</v>
      </c>
      <c r="I653" t="inlineStr">
        <is>
          <t>MO</t>
        </is>
      </c>
      <c r="J653" t="inlineStr">
        <is>
          <t>00.브랜드검색PCMO</t>
        </is>
      </c>
      <c r="K653" t="inlineStr">
        <is>
          <t>01.MO브랜드검색</t>
        </is>
      </c>
      <c r="M653" t="n">
        <v>0</v>
      </c>
      <c r="N653" t="n">
        <v>0</v>
      </c>
      <c r="O653" t="n">
        <v>51333.33333333334</v>
      </c>
      <c r="P653" t="n">
        <v>0</v>
      </c>
      <c r="Q653" t="n">
        <v>0</v>
      </c>
      <c r="R653" t="n">
        <v>0</v>
      </c>
      <c r="S653" t="n">
        <v>0</v>
      </c>
      <c r="T653" t="inlineStr">
        <is>
          <t>BSA</t>
        </is>
      </c>
      <c r="U653" t="inlineStr">
        <is>
          <t>BSA</t>
        </is>
      </c>
      <c r="X653" s="16" t="n">
        <v>45270</v>
      </c>
    </row>
    <row r="654">
      <c r="C654" t="inlineStr">
        <is>
          <t>BSA</t>
        </is>
      </c>
      <c r="D654" t="inlineStr">
        <is>
          <t>BSA</t>
        </is>
      </c>
      <c r="E654" t="inlineStr">
        <is>
          <t>당월</t>
        </is>
      </c>
      <c r="F654" t="inlineStr">
        <is>
          <t>11월 4주차</t>
        </is>
      </c>
      <c r="G654" t="inlineStr">
        <is>
          <t>네이버</t>
        </is>
      </c>
      <c r="H654" s="16" t="n">
        <v>45253</v>
      </c>
      <c r="I654" t="inlineStr">
        <is>
          <t>PC</t>
        </is>
      </c>
      <c r="J654" t="inlineStr">
        <is>
          <t>00.브랜드검색PCMO</t>
        </is>
      </c>
      <c r="K654" t="inlineStr">
        <is>
          <t>01.PC브랜드검색</t>
        </is>
      </c>
      <c r="M654" t="n">
        <v>0</v>
      </c>
      <c r="N654" t="n">
        <v>0</v>
      </c>
      <c r="O654" t="n">
        <v>36666.66666666666</v>
      </c>
      <c r="P654" t="n">
        <v>0</v>
      </c>
      <c r="Q654" t="n">
        <v>0</v>
      </c>
      <c r="R654" t="n">
        <v>0</v>
      </c>
      <c r="S654" t="n">
        <v>0</v>
      </c>
      <c r="T654" t="inlineStr">
        <is>
          <t>BSA</t>
        </is>
      </c>
      <c r="U654" t="inlineStr">
        <is>
          <t>BSA</t>
        </is>
      </c>
      <c r="X654" s="16" t="n">
        <v>45271</v>
      </c>
    </row>
    <row r="655">
      <c r="C655" t="inlineStr">
        <is>
          <t>BSA</t>
        </is>
      </c>
      <c r="D655" t="inlineStr">
        <is>
          <t>BSA</t>
        </is>
      </c>
      <c r="E655" t="inlineStr">
        <is>
          <t>당월</t>
        </is>
      </c>
      <c r="F655" t="inlineStr">
        <is>
          <t>11월 4주차</t>
        </is>
      </c>
      <c r="G655" t="inlineStr">
        <is>
          <t>네이버</t>
        </is>
      </c>
      <c r="H655" s="16" t="n">
        <v>45253</v>
      </c>
      <c r="I655" t="inlineStr">
        <is>
          <t>MO</t>
        </is>
      </c>
      <c r="J655" t="inlineStr">
        <is>
          <t>00.브랜드검색PCMO</t>
        </is>
      </c>
      <c r="K655" t="inlineStr">
        <is>
          <t>01.MO브랜드검색</t>
        </is>
      </c>
      <c r="M655" t="n">
        <v>0</v>
      </c>
      <c r="N655" t="n">
        <v>0</v>
      </c>
      <c r="O655" t="n">
        <v>51333.33333333334</v>
      </c>
      <c r="P655" t="n">
        <v>0</v>
      </c>
      <c r="Q655" t="n">
        <v>0</v>
      </c>
      <c r="R655" t="n">
        <v>0</v>
      </c>
      <c r="S655" t="n">
        <v>0</v>
      </c>
      <c r="T655" t="inlineStr">
        <is>
          <t>BSA</t>
        </is>
      </c>
      <c r="U655" t="inlineStr">
        <is>
          <t>BSA</t>
        </is>
      </c>
      <c r="X655" s="16" t="n">
        <v>45272</v>
      </c>
    </row>
    <row r="656">
      <c r="C656" t="inlineStr">
        <is>
          <t>BSA</t>
        </is>
      </c>
      <c r="D656" t="inlineStr">
        <is>
          <t>BSA</t>
        </is>
      </c>
      <c r="E656" t="inlineStr">
        <is>
          <t>당월</t>
        </is>
      </c>
      <c r="F656" t="inlineStr">
        <is>
          <t>11월 4주차</t>
        </is>
      </c>
      <c r="G656" t="inlineStr">
        <is>
          <t>네이버</t>
        </is>
      </c>
      <c r="H656" s="16" t="n">
        <v>45254</v>
      </c>
      <c r="I656" t="inlineStr">
        <is>
          <t>PC</t>
        </is>
      </c>
      <c r="J656" t="inlineStr">
        <is>
          <t>00.브랜드검색PCMO</t>
        </is>
      </c>
      <c r="K656" t="inlineStr">
        <is>
          <t>01.PC브랜드검색</t>
        </is>
      </c>
      <c r="M656" t="n">
        <v>0</v>
      </c>
      <c r="N656" t="n">
        <v>0</v>
      </c>
      <c r="O656" t="n">
        <v>36666.66666666666</v>
      </c>
      <c r="P656" t="n">
        <v>0</v>
      </c>
      <c r="Q656" t="n">
        <v>0</v>
      </c>
      <c r="R656" t="n">
        <v>0</v>
      </c>
      <c r="S656" t="n">
        <v>0</v>
      </c>
      <c r="T656" t="inlineStr">
        <is>
          <t>BSA</t>
        </is>
      </c>
      <c r="U656" t="inlineStr">
        <is>
          <t>BSA</t>
        </is>
      </c>
      <c r="X656" s="16" t="n">
        <v>45273</v>
      </c>
    </row>
    <row r="657">
      <c r="C657" t="inlineStr">
        <is>
          <t>BSA</t>
        </is>
      </c>
      <c r="D657" t="inlineStr">
        <is>
          <t>BSA</t>
        </is>
      </c>
      <c r="E657" t="inlineStr">
        <is>
          <t>당월</t>
        </is>
      </c>
      <c r="F657" t="inlineStr">
        <is>
          <t>11월 4주차</t>
        </is>
      </c>
      <c r="G657" t="inlineStr">
        <is>
          <t>네이버</t>
        </is>
      </c>
      <c r="H657" s="16" t="n">
        <v>45254</v>
      </c>
      <c r="I657" t="inlineStr">
        <is>
          <t>MO</t>
        </is>
      </c>
      <c r="J657" t="inlineStr">
        <is>
          <t>00.브랜드검색PCMO</t>
        </is>
      </c>
      <c r="K657" t="inlineStr">
        <is>
          <t>01.MO브랜드검색</t>
        </is>
      </c>
      <c r="M657" t="n">
        <v>0</v>
      </c>
      <c r="N657" t="n">
        <v>0</v>
      </c>
      <c r="O657" t="n">
        <v>51333.33333333334</v>
      </c>
      <c r="P657" t="n">
        <v>0</v>
      </c>
      <c r="Q657" t="n">
        <v>0</v>
      </c>
      <c r="R657" t="n">
        <v>0</v>
      </c>
      <c r="S657" t="n">
        <v>0</v>
      </c>
      <c r="T657" t="inlineStr">
        <is>
          <t>BSA</t>
        </is>
      </c>
      <c r="U657" t="inlineStr">
        <is>
          <t>BSA</t>
        </is>
      </c>
      <c r="X657" s="16" t="n">
        <v>45274</v>
      </c>
    </row>
    <row r="658">
      <c r="C658" t="inlineStr">
        <is>
          <t>BSA</t>
        </is>
      </c>
      <c r="D658" t="inlineStr">
        <is>
          <t>BSA</t>
        </is>
      </c>
      <c r="E658" t="inlineStr">
        <is>
          <t>당월</t>
        </is>
      </c>
      <c r="F658" t="inlineStr">
        <is>
          <t>11월 4주차</t>
        </is>
      </c>
      <c r="G658" t="inlineStr">
        <is>
          <t>네이버</t>
        </is>
      </c>
      <c r="H658" s="16" t="n">
        <v>45255</v>
      </c>
      <c r="I658" t="inlineStr">
        <is>
          <t>PC</t>
        </is>
      </c>
      <c r="J658" t="inlineStr">
        <is>
          <t>00.브랜드검색PCMO</t>
        </is>
      </c>
      <c r="K658" t="inlineStr">
        <is>
          <t>01.PC브랜드검색</t>
        </is>
      </c>
      <c r="M658" t="n">
        <v>0</v>
      </c>
      <c r="N658" t="n">
        <v>0</v>
      </c>
      <c r="O658" t="n">
        <v>36666.66666666666</v>
      </c>
      <c r="P658" t="n">
        <v>0</v>
      </c>
      <c r="Q658" t="n">
        <v>0</v>
      </c>
      <c r="R658" t="n">
        <v>0</v>
      </c>
      <c r="S658" t="n">
        <v>0</v>
      </c>
      <c r="T658" t="inlineStr">
        <is>
          <t>BSA</t>
        </is>
      </c>
      <c r="U658" t="inlineStr">
        <is>
          <t>BSA</t>
        </is>
      </c>
      <c r="X658" s="16" t="n">
        <v>45275</v>
      </c>
    </row>
    <row r="659">
      <c r="C659" t="inlineStr">
        <is>
          <t>BSA</t>
        </is>
      </c>
      <c r="D659" t="inlineStr">
        <is>
          <t>BSA</t>
        </is>
      </c>
      <c r="E659" t="inlineStr">
        <is>
          <t>당월</t>
        </is>
      </c>
      <c r="F659" t="inlineStr">
        <is>
          <t>11월 4주차</t>
        </is>
      </c>
      <c r="G659" t="inlineStr">
        <is>
          <t>네이버</t>
        </is>
      </c>
      <c r="H659" s="16" t="n">
        <v>45255</v>
      </c>
      <c r="I659" t="inlineStr">
        <is>
          <t>MO</t>
        </is>
      </c>
      <c r="J659" t="inlineStr">
        <is>
          <t>00.브랜드검색PCMO</t>
        </is>
      </c>
      <c r="K659" t="inlineStr">
        <is>
          <t>01.MO브랜드검색</t>
        </is>
      </c>
      <c r="M659" t="n">
        <v>0</v>
      </c>
      <c r="N659" t="n">
        <v>0</v>
      </c>
      <c r="O659" t="n">
        <v>51333.33333333334</v>
      </c>
      <c r="P659" t="n">
        <v>0</v>
      </c>
      <c r="Q659" t="n">
        <v>0</v>
      </c>
      <c r="R659" t="n">
        <v>0</v>
      </c>
      <c r="S659" t="n">
        <v>0</v>
      </c>
      <c r="T659" t="inlineStr">
        <is>
          <t>BSA</t>
        </is>
      </c>
      <c r="U659" t="inlineStr">
        <is>
          <t>BSA</t>
        </is>
      </c>
      <c r="X659" s="16" t="n">
        <v>45276</v>
      </c>
    </row>
    <row r="660">
      <c r="C660" t="inlineStr">
        <is>
          <t>BSA</t>
        </is>
      </c>
      <c r="D660" t="inlineStr">
        <is>
          <t>BSA</t>
        </is>
      </c>
      <c r="E660" t="inlineStr">
        <is>
          <t>당월</t>
        </is>
      </c>
      <c r="F660" t="inlineStr">
        <is>
          <t>11월 4주차</t>
        </is>
      </c>
      <c r="G660" t="inlineStr">
        <is>
          <t>네이버</t>
        </is>
      </c>
      <c r="H660" s="16" t="n">
        <v>45256</v>
      </c>
      <c r="I660" t="inlineStr">
        <is>
          <t>PC</t>
        </is>
      </c>
      <c r="J660" t="inlineStr">
        <is>
          <t>00.브랜드검색PCMO</t>
        </is>
      </c>
      <c r="K660" t="inlineStr">
        <is>
          <t>01.PC브랜드검색</t>
        </is>
      </c>
      <c r="M660" t="n">
        <v>0</v>
      </c>
      <c r="N660" t="n">
        <v>0</v>
      </c>
      <c r="O660" t="n">
        <v>36666.66666666666</v>
      </c>
      <c r="P660" t="n">
        <v>0</v>
      </c>
      <c r="Q660" t="n">
        <v>0</v>
      </c>
      <c r="R660" t="n">
        <v>0</v>
      </c>
      <c r="S660" t="n">
        <v>0</v>
      </c>
      <c r="T660" t="inlineStr">
        <is>
          <t>BSA</t>
        </is>
      </c>
      <c r="U660" t="inlineStr">
        <is>
          <t>BSA</t>
        </is>
      </c>
      <c r="X660" s="16" t="n">
        <v>45277</v>
      </c>
    </row>
    <row r="661">
      <c r="C661" t="inlineStr">
        <is>
          <t>BSA</t>
        </is>
      </c>
      <c r="D661" t="inlineStr">
        <is>
          <t>BSA</t>
        </is>
      </c>
      <c r="E661" t="inlineStr">
        <is>
          <t>당월</t>
        </is>
      </c>
      <c r="F661" t="inlineStr">
        <is>
          <t>11월 4주차</t>
        </is>
      </c>
      <c r="G661" t="inlineStr">
        <is>
          <t>네이버</t>
        </is>
      </c>
      <c r="H661" s="16" t="n">
        <v>45256</v>
      </c>
      <c r="I661" t="inlineStr">
        <is>
          <t>MO</t>
        </is>
      </c>
      <c r="J661" t="inlineStr">
        <is>
          <t>00.브랜드검색PCMO</t>
        </is>
      </c>
      <c r="K661" t="inlineStr">
        <is>
          <t>01.MO브랜드검색</t>
        </is>
      </c>
      <c r="M661" t="n">
        <v>0</v>
      </c>
      <c r="N661" t="n">
        <v>0</v>
      </c>
      <c r="O661" t="n">
        <v>51333.33333333334</v>
      </c>
      <c r="P661" t="n">
        <v>0</v>
      </c>
      <c r="Q661" t="n">
        <v>0</v>
      </c>
      <c r="R661" t="n">
        <v>0</v>
      </c>
      <c r="S661" t="n">
        <v>0</v>
      </c>
      <c r="T661" t="inlineStr">
        <is>
          <t>BSA</t>
        </is>
      </c>
      <c r="U661" t="inlineStr">
        <is>
          <t>BSA</t>
        </is>
      </c>
      <c r="X661" s="16" t="n">
        <v>45278</v>
      </c>
    </row>
    <row r="662">
      <c r="X662" s="16" t="n">
        <v>45279</v>
      </c>
    </row>
    <row r="663">
      <c r="X663" s="16" t="n">
        <v>45280</v>
      </c>
    </row>
    <row r="664">
      <c r="X664" s="16" t="n">
        <v>45281</v>
      </c>
    </row>
    <row r="665">
      <c r="C665" t="inlineStr">
        <is>
          <t>BSA</t>
        </is>
      </c>
      <c r="D665" t="inlineStr">
        <is>
          <t>BSA</t>
        </is>
      </c>
      <c r="E665" t="inlineStr">
        <is>
          <t>당월</t>
        </is>
      </c>
      <c r="F665" t="inlineStr">
        <is>
          <t>11월 5주차</t>
        </is>
      </c>
      <c r="G665" t="inlineStr">
        <is>
          <t>네이버</t>
        </is>
      </c>
      <c r="H665" s="16" t="n">
        <v>45257</v>
      </c>
      <c r="I665" t="inlineStr">
        <is>
          <t>PC</t>
        </is>
      </c>
      <c r="J665" t="inlineStr">
        <is>
          <t>00.브랜드검색PCMO</t>
        </is>
      </c>
      <c r="K665" t="inlineStr">
        <is>
          <t>01.PC브랜드검색</t>
        </is>
      </c>
      <c r="M665" t="n">
        <v>0</v>
      </c>
      <c r="N665" t="n">
        <v>0</v>
      </c>
      <c r="O665" t="n">
        <v>36666.66666666666</v>
      </c>
      <c r="P665" t="n">
        <v>0</v>
      </c>
      <c r="Q665" t="n">
        <v>0</v>
      </c>
      <c r="R665" t="n">
        <v>0</v>
      </c>
      <c r="S665" t="n">
        <v>0</v>
      </c>
      <c r="T665" t="inlineStr">
        <is>
          <t>BSA</t>
        </is>
      </c>
      <c r="U665" t="inlineStr">
        <is>
          <t>BSA</t>
        </is>
      </c>
      <c r="X665" s="16" t="n">
        <v>45282</v>
      </c>
    </row>
    <row r="666">
      <c r="C666" t="inlineStr">
        <is>
          <t>BSA</t>
        </is>
      </c>
      <c r="D666" t="inlineStr">
        <is>
          <t>BSA</t>
        </is>
      </c>
      <c r="E666" t="inlineStr">
        <is>
          <t>당월</t>
        </is>
      </c>
      <c r="F666" t="inlineStr">
        <is>
          <t>11월 5주차</t>
        </is>
      </c>
      <c r="G666" t="inlineStr">
        <is>
          <t>네이버</t>
        </is>
      </c>
      <c r="H666" s="16" t="n">
        <v>45257</v>
      </c>
      <c r="I666" t="inlineStr">
        <is>
          <t>MO</t>
        </is>
      </c>
      <c r="J666" t="inlineStr">
        <is>
          <t>00.브랜드검색PCMO</t>
        </is>
      </c>
      <c r="K666" t="inlineStr">
        <is>
          <t>01.MO브랜드검색</t>
        </is>
      </c>
      <c r="M666" t="n">
        <v>0</v>
      </c>
      <c r="N666" t="n">
        <v>0</v>
      </c>
      <c r="O666" t="n">
        <v>51333.33333333334</v>
      </c>
      <c r="P666" t="n">
        <v>0</v>
      </c>
      <c r="Q666" t="n">
        <v>0</v>
      </c>
      <c r="R666" t="n">
        <v>0</v>
      </c>
      <c r="S666" t="n">
        <v>0</v>
      </c>
      <c r="T666" t="inlineStr">
        <is>
          <t>BSA</t>
        </is>
      </c>
      <c r="U666" t="inlineStr">
        <is>
          <t>BSA</t>
        </is>
      </c>
      <c r="X666" s="16" t="n">
        <v>45283</v>
      </c>
    </row>
    <row r="667">
      <c r="C667" t="inlineStr">
        <is>
          <t>BSA</t>
        </is>
      </c>
      <c r="D667" t="inlineStr">
        <is>
          <t>BSA</t>
        </is>
      </c>
      <c r="E667" t="inlineStr">
        <is>
          <t>당월</t>
        </is>
      </c>
      <c r="F667" t="inlineStr">
        <is>
          <t>11월 5주차</t>
        </is>
      </c>
      <c r="G667" t="inlineStr">
        <is>
          <t>네이버</t>
        </is>
      </c>
      <c r="H667" s="16" t="n">
        <v>45258</v>
      </c>
      <c r="I667" t="inlineStr">
        <is>
          <t>PC</t>
        </is>
      </c>
      <c r="J667" t="inlineStr">
        <is>
          <t>00.브랜드검색PCMO</t>
        </is>
      </c>
      <c r="K667" t="inlineStr">
        <is>
          <t>01.PC브랜드검색</t>
        </is>
      </c>
      <c r="M667" t="n">
        <v>0</v>
      </c>
      <c r="N667" t="n">
        <v>0</v>
      </c>
      <c r="O667" t="n">
        <v>36666.66666666666</v>
      </c>
      <c r="P667" t="n">
        <v>0</v>
      </c>
      <c r="Q667" t="n">
        <v>0</v>
      </c>
      <c r="R667" t="n">
        <v>0</v>
      </c>
      <c r="S667" t="n">
        <v>0</v>
      </c>
      <c r="T667" t="inlineStr">
        <is>
          <t>BSA</t>
        </is>
      </c>
      <c r="U667" t="inlineStr">
        <is>
          <t>BSA</t>
        </is>
      </c>
      <c r="X667" s="16" t="n">
        <v>45284</v>
      </c>
    </row>
    <row r="668">
      <c r="C668" t="inlineStr">
        <is>
          <t>BSA</t>
        </is>
      </c>
      <c r="D668" t="inlineStr">
        <is>
          <t>BSA</t>
        </is>
      </c>
      <c r="E668" t="inlineStr">
        <is>
          <t>당월</t>
        </is>
      </c>
      <c r="F668" t="inlineStr">
        <is>
          <t>11월 5주차</t>
        </is>
      </c>
      <c r="G668" t="inlineStr">
        <is>
          <t>네이버</t>
        </is>
      </c>
      <c r="H668" s="16" t="n">
        <v>45258</v>
      </c>
      <c r="I668" t="inlineStr">
        <is>
          <t>MO</t>
        </is>
      </c>
      <c r="J668" t="inlineStr">
        <is>
          <t>00.브랜드검색PCMO</t>
        </is>
      </c>
      <c r="K668" t="inlineStr">
        <is>
          <t>01.MO브랜드검색</t>
        </is>
      </c>
      <c r="M668" t="n">
        <v>0</v>
      </c>
      <c r="N668" t="n">
        <v>0</v>
      </c>
      <c r="O668" t="n">
        <v>51333.33333333334</v>
      </c>
      <c r="P668" t="n">
        <v>0</v>
      </c>
      <c r="Q668" t="n">
        <v>0</v>
      </c>
      <c r="R668" t="n">
        <v>0</v>
      </c>
      <c r="S668" t="n">
        <v>0</v>
      </c>
      <c r="T668" t="inlineStr">
        <is>
          <t>BSA</t>
        </is>
      </c>
      <c r="U668" t="inlineStr">
        <is>
          <t>BSA</t>
        </is>
      </c>
      <c r="X668" s="16" t="n">
        <v>45285</v>
      </c>
    </row>
    <row r="669">
      <c r="C669" t="inlineStr">
        <is>
          <t>BSA</t>
        </is>
      </c>
      <c r="D669" t="inlineStr">
        <is>
          <t>BSA</t>
        </is>
      </c>
      <c r="E669" t="inlineStr">
        <is>
          <t>당월</t>
        </is>
      </c>
      <c r="F669" t="inlineStr">
        <is>
          <t>11월 5주차</t>
        </is>
      </c>
      <c r="G669" t="inlineStr">
        <is>
          <t>네이버</t>
        </is>
      </c>
      <c r="H669" s="16" t="n">
        <v>45259</v>
      </c>
      <c r="I669" t="inlineStr">
        <is>
          <t>PC</t>
        </is>
      </c>
      <c r="J669" t="inlineStr">
        <is>
          <t>00.브랜드검색PCMO</t>
        </is>
      </c>
      <c r="K669" t="inlineStr">
        <is>
          <t>01.PC브랜드검색</t>
        </is>
      </c>
      <c r="M669" t="n">
        <v>0</v>
      </c>
      <c r="N669" t="n">
        <v>0</v>
      </c>
      <c r="O669" t="n">
        <v>36666.66666666666</v>
      </c>
      <c r="P669" t="n">
        <v>0</v>
      </c>
      <c r="Q669" t="n">
        <v>0</v>
      </c>
      <c r="R669" t="n">
        <v>0</v>
      </c>
      <c r="S669" t="n">
        <v>0</v>
      </c>
      <c r="T669" t="inlineStr">
        <is>
          <t>BSA</t>
        </is>
      </c>
      <c r="U669" t="inlineStr">
        <is>
          <t>BSA</t>
        </is>
      </c>
      <c r="X669" s="16" t="n">
        <v>45286</v>
      </c>
    </row>
    <row r="670">
      <c r="C670" t="inlineStr">
        <is>
          <t>BSA</t>
        </is>
      </c>
      <c r="D670" t="inlineStr">
        <is>
          <t>BSA</t>
        </is>
      </c>
      <c r="E670" t="inlineStr">
        <is>
          <t>당월</t>
        </is>
      </c>
      <c r="F670" t="inlineStr">
        <is>
          <t>11월 5주차</t>
        </is>
      </c>
      <c r="G670" t="inlineStr">
        <is>
          <t>네이버</t>
        </is>
      </c>
      <c r="H670" s="16" t="n">
        <v>45259</v>
      </c>
      <c r="I670" t="inlineStr">
        <is>
          <t>MO</t>
        </is>
      </c>
      <c r="J670" t="inlineStr">
        <is>
          <t>00.브랜드검색PCMO</t>
        </is>
      </c>
      <c r="K670" t="inlineStr">
        <is>
          <t>01.MO브랜드검색</t>
        </is>
      </c>
      <c r="M670" t="n">
        <v>0</v>
      </c>
      <c r="N670" t="n">
        <v>0</v>
      </c>
      <c r="O670" t="n">
        <v>51333.33333333334</v>
      </c>
      <c r="P670" t="n">
        <v>0</v>
      </c>
      <c r="Q670" t="n">
        <v>0</v>
      </c>
      <c r="R670" t="n">
        <v>0</v>
      </c>
      <c r="S670" t="n">
        <v>0</v>
      </c>
      <c r="T670" t="inlineStr">
        <is>
          <t>BSA</t>
        </is>
      </c>
      <c r="U670" t="inlineStr">
        <is>
          <t>BSA</t>
        </is>
      </c>
      <c r="X670" s="16" t="n">
        <v>45287</v>
      </c>
    </row>
    <row r="671">
      <c r="C671" t="inlineStr">
        <is>
          <t>BSA</t>
        </is>
      </c>
      <c r="D671" t="inlineStr">
        <is>
          <t>BSA</t>
        </is>
      </c>
      <c r="E671" t="inlineStr">
        <is>
          <t>당월</t>
        </is>
      </c>
      <c r="F671" t="inlineStr">
        <is>
          <t>11월 5주차</t>
        </is>
      </c>
      <c r="G671" t="inlineStr">
        <is>
          <t>네이버</t>
        </is>
      </c>
      <c r="H671" s="16" t="n">
        <v>45260</v>
      </c>
      <c r="I671" t="inlineStr">
        <is>
          <t>PC</t>
        </is>
      </c>
      <c r="J671" t="inlineStr">
        <is>
          <t>00.브랜드검색PCMO</t>
        </is>
      </c>
      <c r="K671" t="inlineStr">
        <is>
          <t>01.PC브랜드검색</t>
        </is>
      </c>
      <c r="M671" t="n">
        <v>0</v>
      </c>
      <c r="N671" t="n">
        <v>0</v>
      </c>
      <c r="O671" t="n">
        <v>36666.66666666666</v>
      </c>
      <c r="P671" t="n">
        <v>0</v>
      </c>
      <c r="Q671" t="n">
        <v>0</v>
      </c>
      <c r="R671" t="n">
        <v>0</v>
      </c>
      <c r="S671" t="n">
        <v>0</v>
      </c>
      <c r="T671" t="inlineStr">
        <is>
          <t>BSA</t>
        </is>
      </c>
      <c r="U671" t="inlineStr">
        <is>
          <t>BSA</t>
        </is>
      </c>
    </row>
    <row r="672">
      <c r="C672" t="inlineStr">
        <is>
          <t>BSA</t>
        </is>
      </c>
      <c r="D672" t="inlineStr">
        <is>
          <t>BSA</t>
        </is>
      </c>
      <c r="E672" t="inlineStr">
        <is>
          <t>당월</t>
        </is>
      </c>
      <c r="F672" t="inlineStr">
        <is>
          <t>11월 5주차</t>
        </is>
      </c>
      <c r="G672" t="inlineStr">
        <is>
          <t>네이버</t>
        </is>
      </c>
      <c r="H672" s="16" t="n">
        <v>45260</v>
      </c>
      <c r="I672" t="inlineStr">
        <is>
          <t>MO</t>
        </is>
      </c>
      <c r="J672" t="inlineStr">
        <is>
          <t>00.브랜드검색PCMO</t>
        </is>
      </c>
      <c r="K672" t="inlineStr">
        <is>
          <t>01.MO브랜드검색</t>
        </is>
      </c>
      <c r="M672" t="n">
        <v>0</v>
      </c>
      <c r="N672" t="n">
        <v>0</v>
      </c>
      <c r="O672" t="n">
        <v>51333.33333333334</v>
      </c>
      <c r="P672" t="n">
        <v>0</v>
      </c>
      <c r="Q672" t="n">
        <v>0</v>
      </c>
      <c r="R672" t="n">
        <v>0</v>
      </c>
      <c r="S672" t="n">
        <v>0</v>
      </c>
      <c r="T672" t="inlineStr">
        <is>
          <t>BSA</t>
        </is>
      </c>
      <c r="U672" t="inlineStr">
        <is>
          <t>BSA</t>
        </is>
      </c>
    </row>
    <row r="673">
      <c r="C673" t="inlineStr">
        <is>
          <t>BSA</t>
        </is>
      </c>
      <c r="D673" t="inlineStr">
        <is>
          <t>BSA</t>
        </is>
      </c>
      <c r="E673" t="inlineStr">
        <is>
          <t>당월</t>
        </is>
      </c>
      <c r="F673" t="inlineStr">
        <is>
          <t>12월 1주차</t>
        </is>
      </c>
      <c r="G673" t="inlineStr">
        <is>
          <t>네이버</t>
        </is>
      </c>
      <c r="H673" s="16" t="n">
        <v>45261</v>
      </c>
      <c r="I673" t="inlineStr">
        <is>
          <t>PC</t>
        </is>
      </c>
      <c r="J673" t="inlineStr">
        <is>
          <t>00.브랜드검색PCMO</t>
        </is>
      </c>
      <c r="K673" t="inlineStr">
        <is>
          <t>01.PC브랜드검색</t>
        </is>
      </c>
      <c r="M673" t="n">
        <v>0</v>
      </c>
      <c r="N673" t="n">
        <v>0</v>
      </c>
      <c r="O673" t="n">
        <v>36666.66666666666</v>
      </c>
      <c r="P673" t="n">
        <v>0</v>
      </c>
      <c r="Q673" t="n">
        <v>0</v>
      </c>
      <c r="R673" t="n">
        <v>0</v>
      </c>
      <c r="S673" t="n">
        <v>0</v>
      </c>
      <c r="T673" t="inlineStr">
        <is>
          <t>BSA</t>
        </is>
      </c>
      <c r="U673" t="inlineStr">
        <is>
          <t>BSA</t>
        </is>
      </c>
    </row>
    <row r="674">
      <c r="C674" t="inlineStr">
        <is>
          <t>BSA</t>
        </is>
      </c>
      <c r="D674" t="inlineStr">
        <is>
          <t>BSA</t>
        </is>
      </c>
      <c r="E674" t="inlineStr">
        <is>
          <t>당월</t>
        </is>
      </c>
      <c r="F674" t="inlineStr">
        <is>
          <t>12월 1주차</t>
        </is>
      </c>
      <c r="G674" t="inlineStr">
        <is>
          <t>네이버</t>
        </is>
      </c>
      <c r="H674" s="16" t="n">
        <v>45261</v>
      </c>
      <c r="I674" t="inlineStr">
        <is>
          <t>MO</t>
        </is>
      </c>
      <c r="J674" t="inlineStr">
        <is>
          <t>00.브랜드검색PCMO</t>
        </is>
      </c>
      <c r="K674" t="inlineStr">
        <is>
          <t>01.MO브랜드검색</t>
        </is>
      </c>
      <c r="M674" t="n">
        <v>0</v>
      </c>
      <c r="N674" t="n">
        <v>0</v>
      </c>
      <c r="O674" t="n">
        <v>51333.33333333334</v>
      </c>
      <c r="P674" t="n">
        <v>0</v>
      </c>
      <c r="Q674" t="n">
        <v>0</v>
      </c>
      <c r="R674" t="n">
        <v>0</v>
      </c>
      <c r="S674" t="n">
        <v>0</v>
      </c>
      <c r="T674" t="inlineStr">
        <is>
          <t>BSA</t>
        </is>
      </c>
      <c r="U674" t="inlineStr">
        <is>
          <t>BSA</t>
        </is>
      </c>
    </row>
    <row r="675">
      <c r="C675" t="inlineStr">
        <is>
          <t>BSA</t>
        </is>
      </c>
      <c r="D675" t="inlineStr">
        <is>
          <t>BSA</t>
        </is>
      </c>
      <c r="E675" t="inlineStr">
        <is>
          <t>당월</t>
        </is>
      </c>
      <c r="F675" t="inlineStr">
        <is>
          <t>12월 1주차</t>
        </is>
      </c>
      <c r="G675" t="inlineStr">
        <is>
          <t>네이버</t>
        </is>
      </c>
      <c r="H675" s="16" t="n">
        <v>45262</v>
      </c>
      <c r="I675" t="inlineStr">
        <is>
          <t>PC</t>
        </is>
      </c>
      <c r="J675" t="inlineStr">
        <is>
          <t>00.브랜드검색PCMO</t>
        </is>
      </c>
      <c r="K675" t="inlineStr">
        <is>
          <t>01.PC브랜드검색</t>
        </is>
      </c>
      <c r="M675" t="n">
        <v>0</v>
      </c>
      <c r="N675" t="n">
        <v>0</v>
      </c>
      <c r="O675" t="n">
        <v>36666.66666666666</v>
      </c>
      <c r="P675" t="n">
        <v>0</v>
      </c>
      <c r="Q675" t="n">
        <v>0</v>
      </c>
      <c r="R675" t="n">
        <v>0</v>
      </c>
      <c r="S675" t="n">
        <v>0</v>
      </c>
      <c r="T675" t="inlineStr">
        <is>
          <t>BSA</t>
        </is>
      </c>
      <c r="U675" t="inlineStr">
        <is>
          <t>BSA</t>
        </is>
      </c>
    </row>
    <row r="676">
      <c r="C676" t="inlineStr">
        <is>
          <t>BSA</t>
        </is>
      </c>
      <c r="D676" t="inlineStr">
        <is>
          <t>BSA</t>
        </is>
      </c>
      <c r="E676" t="inlineStr">
        <is>
          <t>당월</t>
        </is>
      </c>
      <c r="F676" t="inlineStr">
        <is>
          <t>12월 1주차</t>
        </is>
      </c>
      <c r="G676" t="inlineStr">
        <is>
          <t>네이버</t>
        </is>
      </c>
      <c r="H676" s="16" t="n">
        <v>45262</v>
      </c>
      <c r="I676" t="inlineStr">
        <is>
          <t>MO</t>
        </is>
      </c>
      <c r="J676" t="inlineStr">
        <is>
          <t>00.브랜드검색PCMO</t>
        </is>
      </c>
      <c r="K676" t="inlineStr">
        <is>
          <t>01.MO브랜드검색</t>
        </is>
      </c>
      <c r="M676" t="n">
        <v>0</v>
      </c>
      <c r="N676" t="n">
        <v>0</v>
      </c>
      <c r="O676" t="n">
        <v>51333.33333333334</v>
      </c>
      <c r="P676" t="n">
        <v>0</v>
      </c>
      <c r="Q676" t="n">
        <v>0</v>
      </c>
      <c r="R676" t="n">
        <v>0</v>
      </c>
      <c r="S676" t="n">
        <v>0</v>
      </c>
      <c r="T676" t="inlineStr">
        <is>
          <t>BSA</t>
        </is>
      </c>
      <c r="U676" t="inlineStr">
        <is>
          <t>BSA</t>
        </is>
      </c>
    </row>
    <row r="677">
      <c r="C677" t="inlineStr">
        <is>
          <t>BSA</t>
        </is>
      </c>
      <c r="D677" t="inlineStr">
        <is>
          <t>BSA</t>
        </is>
      </c>
      <c r="E677" t="inlineStr">
        <is>
          <t>당월</t>
        </is>
      </c>
      <c r="F677" t="inlineStr">
        <is>
          <t>12월 1주차</t>
        </is>
      </c>
      <c r="G677" t="inlineStr">
        <is>
          <t>네이버</t>
        </is>
      </c>
      <c r="H677" s="16" t="n">
        <v>45263</v>
      </c>
      <c r="I677" t="inlineStr">
        <is>
          <t>PC</t>
        </is>
      </c>
      <c r="J677" t="inlineStr">
        <is>
          <t>00.브랜드검색PCMO</t>
        </is>
      </c>
      <c r="K677" t="inlineStr">
        <is>
          <t>01.PC브랜드검색</t>
        </is>
      </c>
      <c r="M677" t="n">
        <v>0</v>
      </c>
      <c r="N677" t="n">
        <v>0</v>
      </c>
      <c r="O677" t="n">
        <v>36666.66666666666</v>
      </c>
      <c r="P677" t="n">
        <v>0</v>
      </c>
      <c r="Q677" t="n">
        <v>0</v>
      </c>
      <c r="R677" t="n">
        <v>0</v>
      </c>
      <c r="S677" t="n">
        <v>0</v>
      </c>
      <c r="T677" t="inlineStr">
        <is>
          <t>BSA</t>
        </is>
      </c>
      <c r="U677" t="inlineStr">
        <is>
          <t>BSA</t>
        </is>
      </c>
    </row>
    <row r="678">
      <c r="C678" t="inlineStr">
        <is>
          <t>BSA</t>
        </is>
      </c>
      <c r="D678" t="inlineStr">
        <is>
          <t>BSA</t>
        </is>
      </c>
      <c r="E678" t="inlineStr">
        <is>
          <t>당월</t>
        </is>
      </c>
      <c r="F678" t="inlineStr">
        <is>
          <t>12월 1주차</t>
        </is>
      </c>
      <c r="G678" t="inlineStr">
        <is>
          <t>네이버</t>
        </is>
      </c>
      <c r="H678" s="16" t="n">
        <v>45263</v>
      </c>
      <c r="I678" t="inlineStr">
        <is>
          <t>MO</t>
        </is>
      </c>
      <c r="J678" t="inlineStr">
        <is>
          <t>00.브랜드검색PCMO</t>
        </is>
      </c>
      <c r="K678" t="inlineStr">
        <is>
          <t>01.MO브랜드검색</t>
        </is>
      </c>
      <c r="M678" t="n">
        <v>0</v>
      </c>
      <c r="N678" t="n">
        <v>0</v>
      </c>
      <c r="O678" t="n">
        <v>51333.33333333334</v>
      </c>
      <c r="P678" t="n">
        <v>0</v>
      </c>
      <c r="Q678" t="n">
        <v>0</v>
      </c>
      <c r="R678" t="n">
        <v>0</v>
      </c>
      <c r="S678" t="n">
        <v>0</v>
      </c>
      <c r="T678" t="inlineStr">
        <is>
          <t>BSA</t>
        </is>
      </c>
      <c r="U678" t="inlineStr">
        <is>
          <t>BSA</t>
        </is>
      </c>
    </row>
    <row r="681">
      <c r="C681" t="inlineStr">
        <is>
          <t>BSA</t>
        </is>
      </c>
      <c r="D681" t="inlineStr">
        <is>
          <t>BSA</t>
        </is>
      </c>
      <c r="E681" t="inlineStr">
        <is>
          <t>당월</t>
        </is>
      </c>
      <c r="F681" t="inlineStr">
        <is>
          <t>12월 2주차</t>
        </is>
      </c>
      <c r="G681" t="inlineStr">
        <is>
          <t>네이버</t>
        </is>
      </c>
      <c r="H681" s="16" t="n">
        <v>45264</v>
      </c>
      <c r="I681" t="inlineStr">
        <is>
          <t>PC</t>
        </is>
      </c>
      <c r="J681" t="inlineStr">
        <is>
          <t>00.브랜드검색PCMO</t>
        </is>
      </c>
      <c r="K681" t="inlineStr">
        <is>
          <t>01.PC브랜드검색</t>
        </is>
      </c>
      <c r="M681" t="n">
        <v>0</v>
      </c>
      <c r="N681" t="n">
        <v>0</v>
      </c>
      <c r="O681" t="n">
        <v>36666.66666666666</v>
      </c>
      <c r="P681" t="n">
        <v>0</v>
      </c>
      <c r="Q681" t="n">
        <v>0</v>
      </c>
      <c r="R681" t="n">
        <v>0</v>
      </c>
      <c r="S681" t="n">
        <v>0</v>
      </c>
      <c r="T681" t="inlineStr">
        <is>
          <t>BSA</t>
        </is>
      </c>
      <c r="U681" t="inlineStr">
        <is>
          <t>BSA</t>
        </is>
      </c>
    </row>
    <row r="682">
      <c r="C682" t="inlineStr">
        <is>
          <t>BSA</t>
        </is>
      </c>
      <c r="D682" t="inlineStr">
        <is>
          <t>BSA</t>
        </is>
      </c>
      <c r="E682" t="inlineStr">
        <is>
          <t>당월</t>
        </is>
      </c>
      <c r="F682" t="inlineStr">
        <is>
          <t>12월 2주차</t>
        </is>
      </c>
      <c r="G682" t="inlineStr">
        <is>
          <t>네이버</t>
        </is>
      </c>
      <c r="H682" s="16" t="n">
        <v>45264</v>
      </c>
      <c r="I682" t="inlineStr">
        <is>
          <t>MO</t>
        </is>
      </c>
      <c r="J682" t="inlineStr">
        <is>
          <t>00.브랜드검색PCMO</t>
        </is>
      </c>
      <c r="K682" t="inlineStr">
        <is>
          <t>01.MO브랜드검색</t>
        </is>
      </c>
      <c r="M682" t="n">
        <v>0</v>
      </c>
      <c r="N682" t="n">
        <v>0</v>
      </c>
      <c r="O682" t="n">
        <v>51333.33333333334</v>
      </c>
      <c r="P682" t="n">
        <v>0</v>
      </c>
      <c r="Q682" t="n">
        <v>0</v>
      </c>
      <c r="R682" t="n">
        <v>0</v>
      </c>
      <c r="S682" t="n">
        <v>0</v>
      </c>
      <c r="T682" t="inlineStr">
        <is>
          <t>BSA</t>
        </is>
      </c>
      <c r="U682" t="inlineStr">
        <is>
          <t>BSA</t>
        </is>
      </c>
    </row>
    <row r="683">
      <c r="C683" t="inlineStr">
        <is>
          <t>BSA</t>
        </is>
      </c>
      <c r="D683" t="inlineStr">
        <is>
          <t>BSA</t>
        </is>
      </c>
      <c r="E683" t="inlineStr">
        <is>
          <t>당월</t>
        </is>
      </c>
      <c r="F683" t="inlineStr">
        <is>
          <t>12월 2주차</t>
        </is>
      </c>
      <c r="G683" t="inlineStr">
        <is>
          <t>네이버</t>
        </is>
      </c>
      <c r="H683" s="16" t="n">
        <v>45265</v>
      </c>
      <c r="I683" t="inlineStr">
        <is>
          <t>PC</t>
        </is>
      </c>
      <c r="J683" t="inlineStr">
        <is>
          <t>00.브랜드검색PCMO</t>
        </is>
      </c>
      <c r="K683" t="inlineStr">
        <is>
          <t>01.PC브랜드검색</t>
        </is>
      </c>
      <c r="M683" t="n">
        <v>0</v>
      </c>
      <c r="N683" t="n">
        <v>0</v>
      </c>
      <c r="O683" t="n">
        <v>36666.66666666666</v>
      </c>
      <c r="P683" t="n">
        <v>0</v>
      </c>
      <c r="Q683" t="n">
        <v>0</v>
      </c>
      <c r="R683" t="n">
        <v>0</v>
      </c>
      <c r="S683" t="n">
        <v>0</v>
      </c>
      <c r="T683" t="inlineStr">
        <is>
          <t>BSA</t>
        </is>
      </c>
      <c r="U683" t="inlineStr">
        <is>
          <t>BSA</t>
        </is>
      </c>
    </row>
    <row r="684">
      <c r="C684" t="inlineStr">
        <is>
          <t>BSA</t>
        </is>
      </c>
      <c r="D684" t="inlineStr">
        <is>
          <t>BSA</t>
        </is>
      </c>
      <c r="E684" t="inlineStr">
        <is>
          <t>당월</t>
        </is>
      </c>
      <c r="F684" t="inlineStr">
        <is>
          <t>12월 2주차</t>
        </is>
      </c>
      <c r="G684" t="inlineStr">
        <is>
          <t>네이버</t>
        </is>
      </c>
      <c r="H684" s="16" t="n">
        <v>45265</v>
      </c>
      <c r="I684" t="inlineStr">
        <is>
          <t>MO</t>
        </is>
      </c>
      <c r="J684" t="inlineStr">
        <is>
          <t>00.브랜드검색PCMO</t>
        </is>
      </c>
      <c r="K684" t="inlineStr">
        <is>
          <t>01.MO브랜드검색</t>
        </is>
      </c>
      <c r="M684" t="n">
        <v>0</v>
      </c>
      <c r="N684" t="n">
        <v>0</v>
      </c>
      <c r="O684" t="n">
        <v>51333.33333333334</v>
      </c>
      <c r="P684" t="n">
        <v>0</v>
      </c>
      <c r="Q684" t="n">
        <v>0</v>
      </c>
      <c r="R684" t="n">
        <v>0</v>
      </c>
      <c r="S684" t="n">
        <v>0</v>
      </c>
      <c r="T684" t="inlineStr">
        <is>
          <t>BSA</t>
        </is>
      </c>
      <c r="U684" t="inlineStr">
        <is>
          <t>BSA</t>
        </is>
      </c>
    </row>
    <row r="685">
      <c r="C685" t="inlineStr">
        <is>
          <t>BSA</t>
        </is>
      </c>
      <c r="D685" t="inlineStr">
        <is>
          <t>BSA</t>
        </is>
      </c>
      <c r="E685" t="inlineStr">
        <is>
          <t>당월</t>
        </is>
      </c>
      <c r="F685" t="inlineStr">
        <is>
          <t>12월 2주차</t>
        </is>
      </c>
      <c r="G685" t="inlineStr">
        <is>
          <t>네이버</t>
        </is>
      </c>
      <c r="H685" s="16" t="n">
        <v>45266</v>
      </c>
      <c r="I685" t="inlineStr">
        <is>
          <t>PC</t>
        </is>
      </c>
      <c r="J685" t="inlineStr">
        <is>
          <t>00.브랜드검색PCMO</t>
        </is>
      </c>
      <c r="K685" t="inlineStr">
        <is>
          <t>01.PC브랜드검색</t>
        </is>
      </c>
      <c r="M685" t="n">
        <v>0</v>
      </c>
      <c r="N685" t="n">
        <v>0</v>
      </c>
      <c r="O685" t="n">
        <v>36666.66666666666</v>
      </c>
      <c r="P685" t="n">
        <v>0</v>
      </c>
      <c r="Q685" t="n">
        <v>0</v>
      </c>
      <c r="R685" t="n">
        <v>0</v>
      </c>
      <c r="S685" t="n">
        <v>0</v>
      </c>
      <c r="T685" t="inlineStr">
        <is>
          <t>BSA</t>
        </is>
      </c>
      <c r="U685" t="inlineStr">
        <is>
          <t>BSA</t>
        </is>
      </c>
      <c r="X685" s="16" t="n">
        <v>45265</v>
      </c>
    </row>
    <row r="686">
      <c r="C686" t="inlineStr">
        <is>
          <t>BSA</t>
        </is>
      </c>
      <c r="D686" t="inlineStr">
        <is>
          <t>BSA</t>
        </is>
      </c>
      <c r="E686" t="inlineStr">
        <is>
          <t>당월</t>
        </is>
      </c>
      <c r="F686" t="inlineStr">
        <is>
          <t>12월 2주차</t>
        </is>
      </c>
      <c r="G686" t="inlineStr">
        <is>
          <t>네이버</t>
        </is>
      </c>
      <c r="H686" s="16" t="n">
        <v>45266</v>
      </c>
      <c r="I686" t="inlineStr">
        <is>
          <t>MO</t>
        </is>
      </c>
      <c r="J686" t="inlineStr">
        <is>
          <t>00.브랜드검색PCMO</t>
        </is>
      </c>
      <c r="K686" t="inlineStr">
        <is>
          <t>01.MO브랜드검색</t>
        </is>
      </c>
      <c r="M686" t="n">
        <v>0</v>
      </c>
      <c r="N686" t="n">
        <v>0</v>
      </c>
      <c r="O686" t="n">
        <v>51333.33333333334</v>
      </c>
      <c r="P686" t="n">
        <v>0</v>
      </c>
      <c r="Q686" t="n">
        <v>0</v>
      </c>
      <c r="R686" t="n">
        <v>0</v>
      </c>
      <c r="S686" t="n">
        <v>0</v>
      </c>
      <c r="T686" t="inlineStr">
        <is>
          <t>BSA</t>
        </is>
      </c>
      <c r="U686" t="inlineStr">
        <is>
          <t>BSA</t>
        </is>
      </c>
      <c r="X686" s="16" t="n">
        <v>45266</v>
      </c>
    </row>
    <row r="687">
      <c r="C687" t="inlineStr">
        <is>
          <t>BSA</t>
        </is>
      </c>
      <c r="D687" t="inlineStr">
        <is>
          <t>BSA</t>
        </is>
      </c>
      <c r="E687" t="inlineStr">
        <is>
          <t>당월</t>
        </is>
      </c>
      <c r="F687" t="inlineStr">
        <is>
          <t>12월 2주차</t>
        </is>
      </c>
      <c r="G687" t="inlineStr">
        <is>
          <t>네이버</t>
        </is>
      </c>
      <c r="H687" s="16" t="n">
        <v>45267</v>
      </c>
      <c r="I687" t="inlineStr">
        <is>
          <t>PC</t>
        </is>
      </c>
      <c r="J687" t="inlineStr">
        <is>
          <t>00.브랜드검색PCMO</t>
        </is>
      </c>
      <c r="K687" t="inlineStr">
        <is>
          <t>01.PC브랜드검색</t>
        </is>
      </c>
      <c r="M687" t="n">
        <v>0</v>
      </c>
      <c r="N687" t="n">
        <v>0</v>
      </c>
      <c r="O687" t="n">
        <v>36666.66666666666</v>
      </c>
      <c r="P687" t="n">
        <v>0</v>
      </c>
      <c r="Q687" t="n">
        <v>0</v>
      </c>
      <c r="R687" t="n">
        <v>0</v>
      </c>
      <c r="S687" t="n">
        <v>0</v>
      </c>
      <c r="T687" t="inlineStr">
        <is>
          <t>BSA</t>
        </is>
      </c>
      <c r="U687" t="inlineStr">
        <is>
          <t>BSA</t>
        </is>
      </c>
      <c r="X687" s="16" t="n">
        <v>45267</v>
      </c>
    </row>
    <row r="688">
      <c r="C688" t="inlineStr">
        <is>
          <t>BSA</t>
        </is>
      </c>
      <c r="D688" t="inlineStr">
        <is>
          <t>BSA</t>
        </is>
      </c>
      <c r="E688" t="inlineStr">
        <is>
          <t>당월</t>
        </is>
      </c>
      <c r="F688" t="inlineStr">
        <is>
          <t>12월 2주차</t>
        </is>
      </c>
      <c r="G688" t="inlineStr">
        <is>
          <t>네이버</t>
        </is>
      </c>
      <c r="H688" s="16" t="n">
        <v>45267</v>
      </c>
      <c r="I688" t="inlineStr">
        <is>
          <t>MO</t>
        </is>
      </c>
      <c r="J688" t="inlineStr">
        <is>
          <t>00.브랜드검색PCMO</t>
        </is>
      </c>
      <c r="K688" t="inlineStr">
        <is>
          <t>01.MO브랜드검색</t>
        </is>
      </c>
      <c r="M688" t="n">
        <v>0</v>
      </c>
      <c r="N688" t="n">
        <v>0</v>
      </c>
      <c r="O688" t="n">
        <v>51333.33333333334</v>
      </c>
      <c r="P688" t="n">
        <v>0</v>
      </c>
      <c r="Q688" t="n">
        <v>0</v>
      </c>
      <c r="R688" t="n">
        <v>0</v>
      </c>
      <c r="S688" t="n">
        <v>0</v>
      </c>
      <c r="T688" t="inlineStr">
        <is>
          <t>BSA</t>
        </is>
      </c>
      <c r="U688" t="inlineStr">
        <is>
          <t>BSA</t>
        </is>
      </c>
      <c r="X688" s="16" t="n">
        <v>45268</v>
      </c>
    </row>
    <row r="689">
      <c r="C689" t="inlineStr">
        <is>
          <t>BSA</t>
        </is>
      </c>
      <c r="D689" t="inlineStr">
        <is>
          <t>BSA</t>
        </is>
      </c>
      <c r="E689" t="inlineStr">
        <is>
          <t>당월</t>
        </is>
      </c>
      <c r="F689" t="inlineStr">
        <is>
          <t>12월 2주차</t>
        </is>
      </c>
      <c r="G689" t="inlineStr">
        <is>
          <t>네이버</t>
        </is>
      </c>
      <c r="H689" s="16" t="n">
        <v>45268</v>
      </c>
      <c r="I689" t="inlineStr">
        <is>
          <t>PC</t>
        </is>
      </c>
      <c r="J689" t="inlineStr">
        <is>
          <t>00.브랜드검색PCMO</t>
        </is>
      </c>
      <c r="K689" t="inlineStr">
        <is>
          <t>01.PC브랜드검색</t>
        </is>
      </c>
      <c r="M689" t="n">
        <v>0</v>
      </c>
      <c r="N689" t="n">
        <v>0</v>
      </c>
      <c r="O689" t="n">
        <v>36666.66666666666</v>
      </c>
      <c r="P689" t="n">
        <v>0</v>
      </c>
      <c r="Q689" t="n">
        <v>0</v>
      </c>
      <c r="R689" t="n">
        <v>0</v>
      </c>
      <c r="S689" t="n">
        <v>0</v>
      </c>
      <c r="T689" t="inlineStr">
        <is>
          <t>BSA</t>
        </is>
      </c>
      <c r="U689" t="inlineStr">
        <is>
          <t>BSA</t>
        </is>
      </c>
      <c r="X689" s="16" t="n">
        <v>45269</v>
      </c>
    </row>
    <row r="690">
      <c r="C690" t="inlineStr">
        <is>
          <t>BSA</t>
        </is>
      </c>
      <c r="D690" t="inlineStr">
        <is>
          <t>BSA</t>
        </is>
      </c>
      <c r="E690" t="inlineStr">
        <is>
          <t>당월</t>
        </is>
      </c>
      <c r="F690" t="inlineStr">
        <is>
          <t>12월 2주차</t>
        </is>
      </c>
      <c r="G690" t="inlineStr">
        <is>
          <t>네이버</t>
        </is>
      </c>
      <c r="H690" s="16" t="n">
        <v>45268</v>
      </c>
      <c r="I690" t="inlineStr">
        <is>
          <t>MO</t>
        </is>
      </c>
      <c r="J690" t="inlineStr">
        <is>
          <t>00.브랜드검색PCMO</t>
        </is>
      </c>
      <c r="K690" t="inlineStr">
        <is>
          <t>01.MO브랜드검색</t>
        </is>
      </c>
      <c r="M690" t="n">
        <v>0</v>
      </c>
      <c r="N690" t="n">
        <v>0</v>
      </c>
      <c r="O690" t="n">
        <v>51333.33333333334</v>
      </c>
      <c r="P690" t="n">
        <v>0</v>
      </c>
      <c r="Q690" t="n">
        <v>0</v>
      </c>
      <c r="R690" t="n">
        <v>0</v>
      </c>
      <c r="S690" t="n">
        <v>0</v>
      </c>
      <c r="T690" t="inlineStr">
        <is>
          <t>BSA</t>
        </is>
      </c>
      <c r="U690" t="inlineStr">
        <is>
          <t>BSA</t>
        </is>
      </c>
      <c r="X690" s="16" t="n">
        <v>45270</v>
      </c>
    </row>
    <row r="691">
      <c r="C691" t="inlineStr">
        <is>
          <t>BSA</t>
        </is>
      </c>
      <c r="D691" t="inlineStr">
        <is>
          <t>BSA</t>
        </is>
      </c>
      <c r="E691" t="inlineStr">
        <is>
          <t>당월</t>
        </is>
      </c>
      <c r="F691" t="inlineStr">
        <is>
          <t>12월 2주차</t>
        </is>
      </c>
      <c r="G691" t="inlineStr">
        <is>
          <t>네이버</t>
        </is>
      </c>
      <c r="H691" s="16" t="n">
        <v>45269</v>
      </c>
      <c r="I691" t="inlineStr">
        <is>
          <t>PC</t>
        </is>
      </c>
      <c r="J691" t="inlineStr">
        <is>
          <t>00.브랜드검색PCMO</t>
        </is>
      </c>
      <c r="K691" t="inlineStr">
        <is>
          <t>01.PC브랜드검색</t>
        </is>
      </c>
      <c r="M691" t="n">
        <v>0</v>
      </c>
      <c r="N691" t="n">
        <v>0</v>
      </c>
      <c r="O691" t="n">
        <v>36666.66666666666</v>
      </c>
      <c r="P691" t="n">
        <v>0</v>
      </c>
      <c r="Q691" t="n">
        <v>0</v>
      </c>
      <c r="R691" t="n">
        <v>0</v>
      </c>
      <c r="S691" t="n">
        <v>0</v>
      </c>
      <c r="T691" t="inlineStr">
        <is>
          <t>BSA</t>
        </is>
      </c>
      <c r="U691" t="inlineStr">
        <is>
          <t>BSA</t>
        </is>
      </c>
      <c r="X691" s="16" t="n">
        <v>45271</v>
      </c>
    </row>
    <row r="692">
      <c r="C692" t="inlineStr">
        <is>
          <t>BSA</t>
        </is>
      </c>
      <c r="D692" t="inlineStr">
        <is>
          <t>BSA</t>
        </is>
      </c>
      <c r="E692" t="inlineStr">
        <is>
          <t>당월</t>
        </is>
      </c>
      <c r="F692" t="inlineStr">
        <is>
          <t>12월 2주차</t>
        </is>
      </c>
      <c r="G692" t="inlineStr">
        <is>
          <t>네이버</t>
        </is>
      </c>
      <c r="H692" s="16" t="n">
        <v>45269</v>
      </c>
      <c r="I692" t="inlineStr">
        <is>
          <t>MO</t>
        </is>
      </c>
      <c r="J692" t="inlineStr">
        <is>
          <t>00.브랜드검색PCMO</t>
        </is>
      </c>
      <c r="K692" t="inlineStr">
        <is>
          <t>01.MO브랜드검색</t>
        </is>
      </c>
      <c r="M692" t="n">
        <v>0</v>
      </c>
      <c r="N692" t="n">
        <v>0</v>
      </c>
      <c r="O692" t="n">
        <v>51333.33333333334</v>
      </c>
      <c r="P692" t="n">
        <v>0</v>
      </c>
      <c r="Q692" t="n">
        <v>0</v>
      </c>
      <c r="R692" t="n">
        <v>0</v>
      </c>
      <c r="S692" t="n">
        <v>0</v>
      </c>
      <c r="T692" t="inlineStr">
        <is>
          <t>BSA</t>
        </is>
      </c>
      <c r="U692" t="inlineStr">
        <is>
          <t>BSA</t>
        </is>
      </c>
      <c r="X692" s="16" t="n">
        <v>45272</v>
      </c>
    </row>
    <row r="693">
      <c r="C693" t="inlineStr">
        <is>
          <t>BSA</t>
        </is>
      </c>
      <c r="D693" t="inlineStr">
        <is>
          <t>BSA</t>
        </is>
      </c>
      <c r="E693" t="inlineStr">
        <is>
          <t>당월</t>
        </is>
      </c>
      <c r="F693" t="inlineStr">
        <is>
          <t>12월 2주차</t>
        </is>
      </c>
      <c r="G693" t="inlineStr">
        <is>
          <t>네이버</t>
        </is>
      </c>
      <c r="H693" s="16" t="n">
        <v>45270</v>
      </c>
      <c r="I693" t="inlineStr">
        <is>
          <t>PC</t>
        </is>
      </c>
      <c r="J693" t="inlineStr">
        <is>
          <t>00.브랜드검색PCMO</t>
        </is>
      </c>
      <c r="K693" t="inlineStr">
        <is>
          <t>01.PC브랜드검색</t>
        </is>
      </c>
      <c r="M693" t="n">
        <v>0</v>
      </c>
      <c r="N693" t="n">
        <v>0</v>
      </c>
      <c r="O693" t="n">
        <v>36666.66666666666</v>
      </c>
      <c r="P693" t="n">
        <v>0</v>
      </c>
      <c r="Q693" t="n">
        <v>0</v>
      </c>
      <c r="R693" t="n">
        <v>0</v>
      </c>
      <c r="S693" t="n">
        <v>0</v>
      </c>
      <c r="T693" t="inlineStr">
        <is>
          <t>BSA</t>
        </is>
      </c>
      <c r="U693" t="inlineStr">
        <is>
          <t>BSA</t>
        </is>
      </c>
      <c r="X693" s="16" t="n">
        <v>45273</v>
      </c>
    </row>
    <row r="694">
      <c r="C694" t="inlineStr">
        <is>
          <t>BSA</t>
        </is>
      </c>
      <c r="D694" t="inlineStr">
        <is>
          <t>BSA</t>
        </is>
      </c>
      <c r="E694" t="inlineStr">
        <is>
          <t>당월</t>
        </is>
      </c>
      <c r="F694" t="inlineStr">
        <is>
          <t>12월 2주차</t>
        </is>
      </c>
      <c r="G694" t="inlineStr">
        <is>
          <t>네이버</t>
        </is>
      </c>
      <c r="H694" s="16" t="n">
        <v>45270</v>
      </c>
      <c r="I694" t="inlineStr">
        <is>
          <t>MO</t>
        </is>
      </c>
      <c r="J694" t="inlineStr">
        <is>
          <t>00.브랜드검색PCMO</t>
        </is>
      </c>
      <c r="K694" t="inlineStr">
        <is>
          <t>01.MO브랜드검색</t>
        </is>
      </c>
      <c r="M694" t="n">
        <v>0</v>
      </c>
      <c r="N694" t="n">
        <v>0</v>
      </c>
      <c r="O694" t="n">
        <v>51333.33333333334</v>
      </c>
      <c r="P694" t="n">
        <v>0</v>
      </c>
      <c r="Q694" t="n">
        <v>0</v>
      </c>
      <c r="R694" t="n">
        <v>0</v>
      </c>
      <c r="S694" t="n">
        <v>0</v>
      </c>
      <c r="T694" t="inlineStr">
        <is>
          <t>BSA</t>
        </is>
      </c>
      <c r="U694" t="inlineStr">
        <is>
          <t>BSA</t>
        </is>
      </c>
      <c r="X694" s="16" t="n">
        <v>45274</v>
      </c>
    </row>
    <row r="695">
      <c r="X695" s="16" t="n">
        <v>45275</v>
      </c>
    </row>
    <row r="696">
      <c r="X696" s="16" t="n">
        <v>45276</v>
      </c>
    </row>
    <row r="697">
      <c r="X697" s="16" t="n">
        <v>45277</v>
      </c>
    </row>
    <row r="698">
      <c r="X698" s="16" t="n">
        <v>45278</v>
      </c>
    </row>
    <row r="699">
      <c r="C699" t="inlineStr">
        <is>
          <t>BSA</t>
        </is>
      </c>
      <c r="D699" t="inlineStr">
        <is>
          <t>BSA</t>
        </is>
      </c>
      <c r="E699" t="inlineStr">
        <is>
          <t>당월</t>
        </is>
      </c>
      <c r="F699" t="inlineStr">
        <is>
          <t>12월 3주차</t>
        </is>
      </c>
      <c r="G699" t="inlineStr">
        <is>
          <t>네이버</t>
        </is>
      </c>
      <c r="H699" s="16" t="n">
        <v>45271</v>
      </c>
      <c r="I699" t="inlineStr">
        <is>
          <t>PC</t>
        </is>
      </c>
      <c r="J699" t="inlineStr">
        <is>
          <t>00.브랜드검색PCMO</t>
        </is>
      </c>
      <c r="K699" t="inlineStr">
        <is>
          <t>01.PC브랜드검색</t>
        </is>
      </c>
      <c r="M699" t="n">
        <v>0</v>
      </c>
      <c r="N699" t="n">
        <v>0</v>
      </c>
      <c r="O699" t="n">
        <v>36666.66666666666</v>
      </c>
      <c r="P699" t="n">
        <v>0</v>
      </c>
      <c r="Q699" t="n">
        <v>0</v>
      </c>
      <c r="R699" t="n">
        <v>0</v>
      </c>
      <c r="S699" t="n">
        <v>0</v>
      </c>
      <c r="T699" t="inlineStr">
        <is>
          <t>BSA</t>
        </is>
      </c>
      <c r="U699" t="inlineStr">
        <is>
          <t>BSA</t>
        </is>
      </c>
      <c r="X699" s="16" t="n">
        <v>45279</v>
      </c>
    </row>
    <row r="700">
      <c r="C700" t="inlineStr">
        <is>
          <t>BSA</t>
        </is>
      </c>
      <c r="D700" t="inlineStr">
        <is>
          <t>BSA</t>
        </is>
      </c>
      <c r="E700" t="inlineStr">
        <is>
          <t>당월</t>
        </is>
      </c>
      <c r="F700" t="inlineStr">
        <is>
          <t>12월 3주차</t>
        </is>
      </c>
      <c r="G700" t="inlineStr">
        <is>
          <t>네이버</t>
        </is>
      </c>
      <c r="H700" s="16" t="n">
        <v>45271</v>
      </c>
      <c r="I700" t="inlineStr">
        <is>
          <t>MO</t>
        </is>
      </c>
      <c r="J700" t="inlineStr">
        <is>
          <t>00.브랜드검색PCMO</t>
        </is>
      </c>
      <c r="K700" t="inlineStr">
        <is>
          <t>01.MO브랜드검색</t>
        </is>
      </c>
      <c r="M700" t="n">
        <v>0</v>
      </c>
      <c r="N700" t="n">
        <v>0</v>
      </c>
      <c r="O700" t="n">
        <v>51333.33333333334</v>
      </c>
      <c r="P700" t="n">
        <v>0</v>
      </c>
      <c r="Q700" t="n">
        <v>0</v>
      </c>
      <c r="R700" t="n">
        <v>0</v>
      </c>
      <c r="S700" t="n">
        <v>0</v>
      </c>
      <c r="T700" t="inlineStr">
        <is>
          <t>BSA</t>
        </is>
      </c>
      <c r="U700" t="inlineStr">
        <is>
          <t>BSA</t>
        </is>
      </c>
      <c r="X700" s="16" t="n">
        <v>45280</v>
      </c>
    </row>
    <row r="701">
      <c r="C701" t="inlineStr">
        <is>
          <t>BSA</t>
        </is>
      </c>
      <c r="D701" t="inlineStr">
        <is>
          <t>BSA</t>
        </is>
      </c>
      <c r="E701" t="inlineStr">
        <is>
          <t>당월</t>
        </is>
      </c>
      <c r="F701" t="inlineStr">
        <is>
          <t>12월 3주차</t>
        </is>
      </c>
      <c r="G701" t="inlineStr">
        <is>
          <t>네이버</t>
        </is>
      </c>
      <c r="H701" s="16" t="n">
        <v>45272</v>
      </c>
      <c r="I701" t="inlineStr">
        <is>
          <t>PC</t>
        </is>
      </c>
      <c r="J701" t="inlineStr">
        <is>
          <t>00.브랜드검색PCMO</t>
        </is>
      </c>
      <c r="K701" t="inlineStr">
        <is>
          <t>01.PC브랜드검색</t>
        </is>
      </c>
      <c r="M701" t="n">
        <v>0</v>
      </c>
      <c r="N701" t="n">
        <v>0</v>
      </c>
      <c r="O701" t="n">
        <v>36666.66666666666</v>
      </c>
      <c r="P701" t="n">
        <v>0</v>
      </c>
      <c r="Q701" t="n">
        <v>0</v>
      </c>
      <c r="R701" t="n">
        <v>0</v>
      </c>
      <c r="S701" t="n">
        <v>0</v>
      </c>
      <c r="T701" t="inlineStr">
        <is>
          <t>BSA</t>
        </is>
      </c>
      <c r="U701" t="inlineStr">
        <is>
          <t>BSA</t>
        </is>
      </c>
      <c r="X701" s="16" t="n">
        <v>45281</v>
      </c>
    </row>
    <row r="702">
      <c r="C702" t="inlineStr">
        <is>
          <t>BSA</t>
        </is>
      </c>
      <c r="D702" t="inlineStr">
        <is>
          <t>BSA</t>
        </is>
      </c>
      <c r="E702" t="inlineStr">
        <is>
          <t>당월</t>
        </is>
      </c>
      <c r="F702" t="inlineStr">
        <is>
          <t>12월 3주차</t>
        </is>
      </c>
      <c r="G702" t="inlineStr">
        <is>
          <t>네이버</t>
        </is>
      </c>
      <c r="H702" s="16" t="n">
        <v>45272</v>
      </c>
      <c r="I702" t="inlineStr">
        <is>
          <t>MO</t>
        </is>
      </c>
      <c r="J702" t="inlineStr">
        <is>
          <t>00.브랜드검색PCMO</t>
        </is>
      </c>
      <c r="K702" t="inlineStr">
        <is>
          <t>01.MO브랜드검색</t>
        </is>
      </c>
      <c r="M702" t="n">
        <v>0</v>
      </c>
      <c r="N702" t="n">
        <v>0</v>
      </c>
      <c r="O702" t="n">
        <v>51333.33333333334</v>
      </c>
      <c r="P702" t="n">
        <v>0</v>
      </c>
      <c r="Q702" t="n">
        <v>0</v>
      </c>
      <c r="R702" t="n">
        <v>0</v>
      </c>
      <c r="S702" t="n">
        <v>0</v>
      </c>
      <c r="T702" t="inlineStr">
        <is>
          <t>BSA</t>
        </is>
      </c>
      <c r="U702" t="inlineStr">
        <is>
          <t>BSA</t>
        </is>
      </c>
      <c r="X702" s="16" t="n">
        <v>45282</v>
      </c>
    </row>
    <row r="703">
      <c r="C703" t="inlineStr">
        <is>
          <t>BSA</t>
        </is>
      </c>
      <c r="D703" t="inlineStr">
        <is>
          <t>BSA</t>
        </is>
      </c>
      <c r="E703" t="inlineStr">
        <is>
          <t>당월</t>
        </is>
      </c>
      <c r="F703" t="inlineStr">
        <is>
          <t>12월 3주차</t>
        </is>
      </c>
      <c r="G703" t="inlineStr">
        <is>
          <t>네이버</t>
        </is>
      </c>
      <c r="H703" s="16" t="n">
        <v>45273</v>
      </c>
      <c r="I703" t="inlineStr">
        <is>
          <t>PC</t>
        </is>
      </c>
      <c r="J703" t="inlineStr">
        <is>
          <t>00.브랜드검색PCMO</t>
        </is>
      </c>
      <c r="K703" t="inlineStr">
        <is>
          <t>01.PC브랜드검색</t>
        </is>
      </c>
      <c r="M703" t="n">
        <v>0</v>
      </c>
      <c r="N703" t="n">
        <v>0</v>
      </c>
      <c r="O703" t="n">
        <v>36666.66666666666</v>
      </c>
      <c r="P703" t="n">
        <v>0</v>
      </c>
      <c r="Q703" t="n">
        <v>0</v>
      </c>
      <c r="R703" t="n">
        <v>0</v>
      </c>
      <c r="S703" t="n">
        <v>0</v>
      </c>
      <c r="T703" t="inlineStr">
        <is>
          <t>BSA</t>
        </is>
      </c>
      <c r="U703" t="inlineStr">
        <is>
          <t>BSA</t>
        </is>
      </c>
      <c r="X703" s="16" t="n">
        <v>45283</v>
      </c>
    </row>
    <row r="704">
      <c r="C704" t="inlineStr">
        <is>
          <t>BSA</t>
        </is>
      </c>
      <c r="D704" t="inlineStr">
        <is>
          <t>BSA</t>
        </is>
      </c>
      <c r="E704" t="inlineStr">
        <is>
          <t>당월</t>
        </is>
      </c>
      <c r="F704" t="inlineStr">
        <is>
          <t>12월 3주차</t>
        </is>
      </c>
      <c r="G704" t="inlineStr">
        <is>
          <t>네이버</t>
        </is>
      </c>
      <c r="H704" s="16" t="n">
        <v>45273</v>
      </c>
      <c r="I704" t="inlineStr">
        <is>
          <t>MO</t>
        </is>
      </c>
      <c r="J704" t="inlineStr">
        <is>
          <t>00.브랜드검색PCMO</t>
        </is>
      </c>
      <c r="K704" t="inlineStr">
        <is>
          <t>01.MO브랜드검색</t>
        </is>
      </c>
      <c r="M704" t="n">
        <v>0</v>
      </c>
      <c r="N704" t="n">
        <v>0</v>
      </c>
      <c r="O704" t="n">
        <v>51333.33333333334</v>
      </c>
      <c r="P704" t="n">
        <v>0</v>
      </c>
      <c r="Q704" t="n">
        <v>0</v>
      </c>
      <c r="R704" t="n">
        <v>0</v>
      </c>
      <c r="S704" t="n">
        <v>0</v>
      </c>
      <c r="T704" t="inlineStr">
        <is>
          <t>BSA</t>
        </is>
      </c>
      <c r="U704" t="inlineStr">
        <is>
          <t>BSA</t>
        </is>
      </c>
      <c r="X704" s="16" t="n">
        <v>45284</v>
      </c>
    </row>
    <row r="705">
      <c r="C705" t="inlineStr">
        <is>
          <t>BSA</t>
        </is>
      </c>
      <c r="D705" t="inlineStr">
        <is>
          <t>BSA</t>
        </is>
      </c>
      <c r="E705" t="inlineStr">
        <is>
          <t>당월</t>
        </is>
      </c>
      <c r="F705" t="inlineStr">
        <is>
          <t>12월 3주차</t>
        </is>
      </c>
      <c r="G705" t="inlineStr">
        <is>
          <t>네이버</t>
        </is>
      </c>
      <c r="H705" s="16" t="n">
        <v>45274</v>
      </c>
      <c r="I705" t="inlineStr">
        <is>
          <t>PC</t>
        </is>
      </c>
      <c r="J705" t="inlineStr">
        <is>
          <t>00.브랜드검색PCMO</t>
        </is>
      </c>
      <c r="K705" t="inlineStr">
        <is>
          <t>01.PC브랜드검색</t>
        </is>
      </c>
      <c r="M705" t="n">
        <v>0</v>
      </c>
      <c r="N705" t="n">
        <v>0</v>
      </c>
      <c r="O705" t="n">
        <v>36666.66666666666</v>
      </c>
      <c r="P705" t="n">
        <v>0</v>
      </c>
      <c r="Q705" t="n">
        <v>0</v>
      </c>
      <c r="R705" t="n">
        <v>0</v>
      </c>
      <c r="S705" t="n">
        <v>0</v>
      </c>
      <c r="T705" t="inlineStr">
        <is>
          <t>BSA</t>
        </is>
      </c>
      <c r="U705" t="inlineStr">
        <is>
          <t>BSA</t>
        </is>
      </c>
      <c r="X705" s="16" t="n">
        <v>45285</v>
      </c>
    </row>
    <row r="706">
      <c r="C706" t="inlineStr">
        <is>
          <t>BSA</t>
        </is>
      </c>
      <c r="D706" t="inlineStr">
        <is>
          <t>BSA</t>
        </is>
      </c>
      <c r="E706" t="inlineStr">
        <is>
          <t>당월</t>
        </is>
      </c>
      <c r="F706" t="inlineStr">
        <is>
          <t>12월 3주차</t>
        </is>
      </c>
      <c r="G706" t="inlineStr">
        <is>
          <t>네이버</t>
        </is>
      </c>
      <c r="H706" s="16" t="n">
        <v>45274</v>
      </c>
      <c r="I706" t="inlineStr">
        <is>
          <t>MO</t>
        </is>
      </c>
      <c r="J706" t="inlineStr">
        <is>
          <t>00.브랜드검색PCMO</t>
        </is>
      </c>
      <c r="K706" t="inlineStr">
        <is>
          <t>01.MO브랜드검색</t>
        </is>
      </c>
      <c r="M706" t="n">
        <v>0</v>
      </c>
      <c r="N706" t="n">
        <v>0</v>
      </c>
      <c r="O706" t="n">
        <v>51333.33333333334</v>
      </c>
      <c r="P706" t="n">
        <v>0</v>
      </c>
      <c r="Q706" t="n">
        <v>0</v>
      </c>
      <c r="R706" t="n">
        <v>0</v>
      </c>
      <c r="S706" t="n">
        <v>0</v>
      </c>
      <c r="T706" t="inlineStr">
        <is>
          <t>BSA</t>
        </is>
      </c>
      <c r="U706" t="inlineStr">
        <is>
          <t>BSA</t>
        </is>
      </c>
      <c r="X706" s="16" t="n">
        <v>45286</v>
      </c>
    </row>
    <row r="707">
      <c r="C707" t="inlineStr">
        <is>
          <t>BSA</t>
        </is>
      </c>
      <c r="D707" t="inlineStr">
        <is>
          <t>BSA</t>
        </is>
      </c>
      <c r="E707" t="inlineStr">
        <is>
          <t>당월</t>
        </is>
      </c>
      <c r="F707" t="inlineStr">
        <is>
          <t>12월 3주차</t>
        </is>
      </c>
      <c r="G707" t="inlineStr">
        <is>
          <t>네이버</t>
        </is>
      </c>
      <c r="H707" s="16" t="n">
        <v>45275</v>
      </c>
      <c r="I707" t="inlineStr">
        <is>
          <t>PC</t>
        </is>
      </c>
      <c r="J707" t="inlineStr">
        <is>
          <t>00.브랜드검색PCMO</t>
        </is>
      </c>
      <c r="K707" t="inlineStr">
        <is>
          <t>01.PC브랜드검색</t>
        </is>
      </c>
      <c r="M707" t="n">
        <v>0</v>
      </c>
      <c r="N707" t="n">
        <v>0</v>
      </c>
      <c r="O707" t="n">
        <v>36666.66666666666</v>
      </c>
      <c r="P707" t="n">
        <v>0</v>
      </c>
      <c r="Q707" t="n">
        <v>0</v>
      </c>
      <c r="R707" t="n">
        <v>0</v>
      </c>
      <c r="S707" t="n">
        <v>0</v>
      </c>
      <c r="T707" t="inlineStr">
        <is>
          <t>BSA</t>
        </is>
      </c>
      <c r="U707" t="inlineStr">
        <is>
          <t>BSA</t>
        </is>
      </c>
      <c r="X707" s="16" t="n">
        <v>45287</v>
      </c>
    </row>
    <row r="708">
      <c r="C708" t="inlineStr">
        <is>
          <t>BSA</t>
        </is>
      </c>
      <c r="D708" t="inlineStr">
        <is>
          <t>BSA</t>
        </is>
      </c>
      <c r="E708" t="inlineStr">
        <is>
          <t>당월</t>
        </is>
      </c>
      <c r="F708" t="inlineStr">
        <is>
          <t>12월 3주차</t>
        </is>
      </c>
      <c r="G708" t="inlineStr">
        <is>
          <t>네이버</t>
        </is>
      </c>
      <c r="H708" s="16" t="n">
        <v>45275</v>
      </c>
      <c r="I708" t="inlineStr">
        <is>
          <t>MO</t>
        </is>
      </c>
      <c r="J708" t="inlineStr">
        <is>
          <t>00.브랜드검색PCMO</t>
        </is>
      </c>
      <c r="K708" t="inlineStr">
        <is>
          <t>01.MO브랜드검색</t>
        </is>
      </c>
      <c r="M708" t="n">
        <v>0</v>
      </c>
      <c r="N708" t="n">
        <v>0</v>
      </c>
      <c r="O708" t="n">
        <v>51333.33333333334</v>
      </c>
      <c r="P708" t="n">
        <v>0</v>
      </c>
      <c r="Q708" t="n">
        <v>0</v>
      </c>
      <c r="R708" t="n">
        <v>0</v>
      </c>
      <c r="S708" t="n">
        <v>0</v>
      </c>
      <c r="T708" t="inlineStr">
        <is>
          <t>BSA</t>
        </is>
      </c>
      <c r="U708" t="inlineStr">
        <is>
          <t>BSA</t>
        </is>
      </c>
      <c r="X708" s="16" t="n">
        <v>45288</v>
      </c>
    </row>
    <row r="709">
      <c r="C709" t="inlineStr">
        <is>
          <t>BSA</t>
        </is>
      </c>
      <c r="D709" t="inlineStr">
        <is>
          <t>BSA</t>
        </is>
      </c>
      <c r="E709" t="inlineStr">
        <is>
          <t>당월</t>
        </is>
      </c>
      <c r="F709" t="inlineStr">
        <is>
          <t>12월 3주차</t>
        </is>
      </c>
      <c r="G709" t="inlineStr">
        <is>
          <t>네이버</t>
        </is>
      </c>
      <c r="H709" s="16" t="n">
        <v>45276</v>
      </c>
      <c r="I709" t="inlineStr">
        <is>
          <t>PC</t>
        </is>
      </c>
      <c r="J709" t="inlineStr">
        <is>
          <t>00.브랜드검색PCMO</t>
        </is>
      </c>
      <c r="K709" t="inlineStr">
        <is>
          <t>01.PC브랜드검색</t>
        </is>
      </c>
      <c r="M709" t="n">
        <v>0</v>
      </c>
      <c r="N709" t="n">
        <v>0</v>
      </c>
      <c r="O709" t="n">
        <v>36666.66666666666</v>
      </c>
      <c r="P709" t="n">
        <v>0</v>
      </c>
      <c r="Q709" t="n">
        <v>0</v>
      </c>
      <c r="R709" t="n">
        <v>0</v>
      </c>
      <c r="S709" t="n">
        <v>0</v>
      </c>
      <c r="T709" t="inlineStr">
        <is>
          <t>BSA</t>
        </is>
      </c>
      <c r="U709" t="inlineStr">
        <is>
          <t>BSA</t>
        </is>
      </c>
      <c r="X709" s="16" t="n">
        <v>45289</v>
      </c>
    </row>
    <row r="710">
      <c r="C710" t="inlineStr">
        <is>
          <t>BSA</t>
        </is>
      </c>
      <c r="D710" t="inlineStr">
        <is>
          <t>BSA</t>
        </is>
      </c>
      <c r="E710" t="inlineStr">
        <is>
          <t>당월</t>
        </is>
      </c>
      <c r="F710" t="inlineStr">
        <is>
          <t>12월 3주차</t>
        </is>
      </c>
      <c r="G710" t="inlineStr">
        <is>
          <t>네이버</t>
        </is>
      </c>
      <c r="H710" s="16" t="n">
        <v>45276</v>
      </c>
      <c r="I710" t="inlineStr">
        <is>
          <t>MO</t>
        </is>
      </c>
      <c r="J710" t="inlineStr">
        <is>
          <t>00.브랜드검색PCMO</t>
        </is>
      </c>
      <c r="K710" t="inlineStr">
        <is>
          <t>01.MO브랜드검색</t>
        </is>
      </c>
      <c r="M710" t="n">
        <v>0</v>
      </c>
      <c r="N710" t="n">
        <v>0</v>
      </c>
      <c r="O710" t="n">
        <v>51333.33333333334</v>
      </c>
      <c r="P710" t="n">
        <v>0</v>
      </c>
      <c r="Q710" t="n">
        <v>0</v>
      </c>
      <c r="R710" t="n">
        <v>0</v>
      </c>
      <c r="S710" t="n">
        <v>0</v>
      </c>
      <c r="T710" t="inlineStr">
        <is>
          <t>BSA</t>
        </is>
      </c>
      <c r="U710" t="inlineStr">
        <is>
          <t>BSA</t>
        </is>
      </c>
      <c r="X710" s="16" t="n">
        <v>45290</v>
      </c>
    </row>
    <row r="711">
      <c r="C711" t="inlineStr">
        <is>
          <t>BSA</t>
        </is>
      </c>
      <c r="D711" t="inlineStr">
        <is>
          <t>BSA</t>
        </is>
      </c>
      <c r="E711" t="inlineStr">
        <is>
          <t>당월</t>
        </is>
      </c>
      <c r="F711" t="inlineStr">
        <is>
          <t>12월 3주차</t>
        </is>
      </c>
      <c r="G711" t="inlineStr">
        <is>
          <t>네이버</t>
        </is>
      </c>
      <c r="H711" s="16" t="n">
        <v>45277</v>
      </c>
      <c r="I711" t="inlineStr">
        <is>
          <t>PC</t>
        </is>
      </c>
      <c r="J711" t="inlineStr">
        <is>
          <t>00.브랜드검색PCMO</t>
        </is>
      </c>
      <c r="K711" t="inlineStr">
        <is>
          <t>01.PC브랜드검색</t>
        </is>
      </c>
      <c r="M711" t="n">
        <v>0</v>
      </c>
      <c r="N711" t="n">
        <v>0</v>
      </c>
      <c r="O711" t="n">
        <v>36666.66666666666</v>
      </c>
      <c r="P711" t="n">
        <v>0</v>
      </c>
      <c r="Q711" t="n">
        <v>0</v>
      </c>
      <c r="R711" t="n">
        <v>0</v>
      </c>
      <c r="S711" t="n">
        <v>0</v>
      </c>
      <c r="T711" t="inlineStr">
        <is>
          <t>BSA</t>
        </is>
      </c>
      <c r="U711" t="inlineStr">
        <is>
          <t>BSA</t>
        </is>
      </c>
      <c r="X711" s="16" t="n">
        <v>45291</v>
      </c>
    </row>
    <row r="712">
      <c r="C712" t="inlineStr">
        <is>
          <t>BSA</t>
        </is>
      </c>
      <c r="D712" t="inlineStr">
        <is>
          <t>BSA</t>
        </is>
      </c>
      <c r="E712" t="inlineStr">
        <is>
          <t>당월</t>
        </is>
      </c>
      <c r="F712" t="inlineStr">
        <is>
          <t>12월 3주차</t>
        </is>
      </c>
      <c r="G712" t="inlineStr">
        <is>
          <t>네이버</t>
        </is>
      </c>
      <c r="H712" s="16" t="n">
        <v>45277</v>
      </c>
      <c r="I712" t="inlineStr">
        <is>
          <t>MO</t>
        </is>
      </c>
      <c r="J712" t="inlineStr">
        <is>
          <t>00.브랜드검색PCMO</t>
        </is>
      </c>
      <c r="K712" t="inlineStr">
        <is>
          <t>01.MO브랜드검색</t>
        </is>
      </c>
      <c r="M712" t="n">
        <v>0</v>
      </c>
      <c r="N712" t="n">
        <v>0</v>
      </c>
      <c r="O712" t="n">
        <v>51333.33333333334</v>
      </c>
      <c r="P712" t="n">
        <v>0</v>
      </c>
      <c r="Q712" t="n">
        <v>0</v>
      </c>
      <c r="R712" t="n">
        <v>0</v>
      </c>
      <c r="S712" t="n">
        <v>0</v>
      </c>
      <c r="T712" t="inlineStr">
        <is>
          <t>BSA</t>
        </is>
      </c>
      <c r="U712" t="inlineStr">
        <is>
          <t>BSA</t>
        </is>
      </c>
      <c r="X712" s="16" t="n">
        <v>45292</v>
      </c>
    </row>
    <row r="713">
      <c r="H713" s="16" t="n"/>
      <c r="X713" s="16" t="n">
        <v>45293</v>
      </c>
    </row>
    <row r="714">
      <c r="H714" s="16" t="n"/>
      <c r="X714" s="16" t="n">
        <v>45294</v>
      </c>
    </row>
    <row r="715">
      <c r="H715" s="16" t="n"/>
      <c r="X715" s="16" t="n">
        <v>45295</v>
      </c>
    </row>
    <row r="716">
      <c r="H716" s="16" t="n"/>
      <c r="X716" s="16" t="n">
        <v>45296</v>
      </c>
    </row>
    <row r="717">
      <c r="H717" s="16" t="n"/>
      <c r="X717" s="16" t="n">
        <v>45297</v>
      </c>
    </row>
    <row r="718">
      <c r="H718" s="16" t="n"/>
      <c r="X718" s="16" t="n">
        <v>45298</v>
      </c>
    </row>
    <row r="719">
      <c r="C719" t="inlineStr">
        <is>
          <t>BSA</t>
        </is>
      </c>
      <c r="D719" t="inlineStr">
        <is>
          <t>BSA</t>
        </is>
      </c>
      <c r="E719" t="inlineStr">
        <is>
          <t>당월</t>
        </is>
      </c>
      <c r="F719" t="inlineStr">
        <is>
          <t>12월 4주차</t>
        </is>
      </c>
      <c r="G719" t="inlineStr">
        <is>
          <t>네이버</t>
        </is>
      </c>
      <c r="H719" s="16" t="n">
        <v>45278</v>
      </c>
      <c r="I719" t="inlineStr">
        <is>
          <t>PC</t>
        </is>
      </c>
      <c r="J719" t="inlineStr">
        <is>
          <t>00.브랜드검색PCMO</t>
        </is>
      </c>
      <c r="K719" t="inlineStr">
        <is>
          <t>01.PC브랜드검색</t>
        </is>
      </c>
      <c r="M719" t="n">
        <v>0</v>
      </c>
      <c r="N719" t="n">
        <v>0</v>
      </c>
      <c r="O719" t="n">
        <v>36666.66666666666</v>
      </c>
      <c r="P719" t="n">
        <v>0</v>
      </c>
      <c r="Q719" t="n">
        <v>0</v>
      </c>
      <c r="R719" t="n">
        <v>0</v>
      </c>
      <c r="S719" t="n">
        <v>0</v>
      </c>
      <c r="T719" t="inlineStr">
        <is>
          <t>BSA</t>
        </is>
      </c>
      <c r="U719" t="inlineStr">
        <is>
          <t>BSA</t>
        </is>
      </c>
      <c r="X719" s="16" t="n">
        <v>45299</v>
      </c>
    </row>
    <row r="720">
      <c r="C720" t="inlineStr">
        <is>
          <t>BSA</t>
        </is>
      </c>
      <c r="D720" t="inlineStr">
        <is>
          <t>BSA</t>
        </is>
      </c>
      <c r="E720" t="inlineStr">
        <is>
          <t>당월</t>
        </is>
      </c>
      <c r="F720" t="inlineStr">
        <is>
          <t>12월 4주차</t>
        </is>
      </c>
      <c r="G720" t="inlineStr">
        <is>
          <t>네이버</t>
        </is>
      </c>
      <c r="H720" s="16" t="n">
        <v>45278</v>
      </c>
      <c r="I720" t="inlineStr">
        <is>
          <t>MO</t>
        </is>
      </c>
      <c r="J720" t="inlineStr">
        <is>
          <t>00.브랜드검색PCMO</t>
        </is>
      </c>
      <c r="K720" t="inlineStr">
        <is>
          <t>01.MO브랜드검색</t>
        </is>
      </c>
      <c r="M720" t="n">
        <v>0</v>
      </c>
      <c r="N720" t="n">
        <v>0</v>
      </c>
      <c r="O720" t="n">
        <v>51333.33333333334</v>
      </c>
      <c r="P720" t="n">
        <v>0</v>
      </c>
      <c r="Q720" t="n">
        <v>0</v>
      </c>
      <c r="R720" t="n">
        <v>0</v>
      </c>
      <c r="S720" t="n">
        <v>0</v>
      </c>
      <c r="T720" t="inlineStr">
        <is>
          <t>BSA</t>
        </is>
      </c>
      <c r="U720" t="inlineStr">
        <is>
          <t>BSA</t>
        </is>
      </c>
      <c r="X720" s="16" t="n">
        <v>45300</v>
      </c>
    </row>
    <row r="721">
      <c r="C721" t="inlineStr">
        <is>
          <t>BSA</t>
        </is>
      </c>
      <c r="D721" t="inlineStr">
        <is>
          <t>BSA</t>
        </is>
      </c>
      <c r="E721" t="inlineStr">
        <is>
          <t>당월</t>
        </is>
      </c>
      <c r="F721" t="inlineStr">
        <is>
          <t>12월 4주차</t>
        </is>
      </c>
      <c r="G721" t="inlineStr">
        <is>
          <t>네이버</t>
        </is>
      </c>
      <c r="H721" s="16" t="n">
        <v>45279</v>
      </c>
      <c r="I721" t="inlineStr">
        <is>
          <t>PC</t>
        </is>
      </c>
      <c r="J721" t="inlineStr">
        <is>
          <t>00.브랜드검색PCMO</t>
        </is>
      </c>
      <c r="K721" t="inlineStr">
        <is>
          <t>01.PC브랜드검색</t>
        </is>
      </c>
      <c r="M721" t="n">
        <v>0</v>
      </c>
      <c r="N721" t="n">
        <v>0</v>
      </c>
      <c r="O721" t="n">
        <v>36666.66666666666</v>
      </c>
      <c r="P721" t="n">
        <v>0</v>
      </c>
      <c r="Q721" t="n">
        <v>0</v>
      </c>
      <c r="R721" t="n">
        <v>0</v>
      </c>
      <c r="S721" t="n">
        <v>0</v>
      </c>
      <c r="T721" t="inlineStr">
        <is>
          <t>BSA</t>
        </is>
      </c>
      <c r="U721" t="inlineStr">
        <is>
          <t>BSA</t>
        </is>
      </c>
      <c r="X721" s="16" t="n">
        <v>45301</v>
      </c>
    </row>
    <row r="722">
      <c r="C722" t="inlineStr">
        <is>
          <t>BSA</t>
        </is>
      </c>
      <c r="D722" t="inlineStr">
        <is>
          <t>BSA</t>
        </is>
      </c>
      <c r="E722" t="inlineStr">
        <is>
          <t>당월</t>
        </is>
      </c>
      <c r="F722" t="inlineStr">
        <is>
          <t>12월 4주차</t>
        </is>
      </c>
      <c r="G722" t="inlineStr">
        <is>
          <t>네이버</t>
        </is>
      </c>
      <c r="H722" s="16" t="n">
        <v>45279</v>
      </c>
      <c r="I722" t="inlineStr">
        <is>
          <t>MO</t>
        </is>
      </c>
      <c r="J722" t="inlineStr">
        <is>
          <t>00.브랜드검색PCMO</t>
        </is>
      </c>
      <c r="K722" t="inlineStr">
        <is>
          <t>01.MO브랜드검색</t>
        </is>
      </c>
      <c r="M722" t="n">
        <v>0</v>
      </c>
      <c r="N722" t="n">
        <v>0</v>
      </c>
      <c r="O722" t="n">
        <v>51333.33333333334</v>
      </c>
      <c r="P722" t="n">
        <v>0</v>
      </c>
      <c r="Q722" t="n">
        <v>0</v>
      </c>
      <c r="R722" t="n">
        <v>0</v>
      </c>
      <c r="S722" t="n">
        <v>0</v>
      </c>
      <c r="T722" t="inlineStr">
        <is>
          <t>BSA</t>
        </is>
      </c>
      <c r="U722" t="inlineStr">
        <is>
          <t>BSA</t>
        </is>
      </c>
      <c r="X722" s="16" t="n">
        <v>45302</v>
      </c>
    </row>
    <row r="723">
      <c r="C723" t="inlineStr">
        <is>
          <t>BSA</t>
        </is>
      </c>
      <c r="D723" t="inlineStr">
        <is>
          <t>BSA</t>
        </is>
      </c>
      <c r="E723" t="inlineStr">
        <is>
          <t>당월</t>
        </is>
      </c>
      <c r="F723" t="inlineStr">
        <is>
          <t>12월 4주차</t>
        </is>
      </c>
      <c r="G723" t="inlineStr">
        <is>
          <t>네이버</t>
        </is>
      </c>
      <c r="H723" s="16" t="n">
        <v>45280</v>
      </c>
      <c r="I723" t="inlineStr">
        <is>
          <t>PC</t>
        </is>
      </c>
      <c r="J723" t="inlineStr">
        <is>
          <t>00.브랜드검색PCMO</t>
        </is>
      </c>
      <c r="K723" t="inlineStr">
        <is>
          <t>01.PC브랜드검색</t>
        </is>
      </c>
      <c r="M723" t="n">
        <v>0</v>
      </c>
      <c r="N723" t="n">
        <v>0</v>
      </c>
      <c r="O723" t="n">
        <v>36666.66666666666</v>
      </c>
      <c r="P723" t="n">
        <v>0</v>
      </c>
      <c r="Q723" t="n">
        <v>0</v>
      </c>
      <c r="R723" t="n">
        <v>0</v>
      </c>
      <c r="S723" t="n">
        <v>0</v>
      </c>
      <c r="T723" t="inlineStr">
        <is>
          <t>BSA</t>
        </is>
      </c>
      <c r="U723" t="inlineStr">
        <is>
          <t>BSA</t>
        </is>
      </c>
      <c r="X723" s="16" t="n">
        <v>45303</v>
      </c>
    </row>
    <row r="724">
      <c r="C724" t="inlineStr">
        <is>
          <t>BSA</t>
        </is>
      </c>
      <c r="D724" t="inlineStr">
        <is>
          <t>BSA</t>
        </is>
      </c>
      <c r="E724" t="inlineStr">
        <is>
          <t>당월</t>
        </is>
      </c>
      <c r="F724" t="inlineStr">
        <is>
          <t>12월 4주차</t>
        </is>
      </c>
      <c r="G724" t="inlineStr">
        <is>
          <t>네이버</t>
        </is>
      </c>
      <c r="H724" s="16" t="n">
        <v>45280</v>
      </c>
      <c r="I724" t="inlineStr">
        <is>
          <t>MO</t>
        </is>
      </c>
      <c r="J724" t="inlineStr">
        <is>
          <t>00.브랜드검색PCMO</t>
        </is>
      </c>
      <c r="K724" t="inlineStr">
        <is>
          <t>01.MO브랜드검색</t>
        </is>
      </c>
      <c r="M724" t="n">
        <v>0</v>
      </c>
      <c r="N724" t="n">
        <v>0</v>
      </c>
      <c r="O724" t="n">
        <v>51333.33333333334</v>
      </c>
      <c r="P724" t="n">
        <v>0</v>
      </c>
      <c r="Q724" t="n">
        <v>0</v>
      </c>
      <c r="R724" t="n">
        <v>0</v>
      </c>
      <c r="S724" t="n">
        <v>0</v>
      </c>
      <c r="T724" t="inlineStr">
        <is>
          <t>BSA</t>
        </is>
      </c>
      <c r="U724" t="inlineStr">
        <is>
          <t>BSA</t>
        </is>
      </c>
      <c r="X724" s="16" t="n">
        <v>45304</v>
      </c>
    </row>
    <row r="725">
      <c r="C725" t="inlineStr">
        <is>
          <t>BSA</t>
        </is>
      </c>
      <c r="D725" t="inlineStr">
        <is>
          <t>BSA</t>
        </is>
      </c>
      <c r="E725" t="inlineStr">
        <is>
          <t>당월</t>
        </is>
      </c>
      <c r="F725" t="inlineStr">
        <is>
          <t>12월 4주차</t>
        </is>
      </c>
      <c r="G725" t="inlineStr">
        <is>
          <t>네이버</t>
        </is>
      </c>
      <c r="H725" s="16" t="n">
        <v>45281</v>
      </c>
      <c r="I725" t="inlineStr">
        <is>
          <t>PC</t>
        </is>
      </c>
      <c r="J725" t="inlineStr">
        <is>
          <t>00.브랜드검색PCMO</t>
        </is>
      </c>
      <c r="K725" t="inlineStr">
        <is>
          <t>01.PC브랜드검색</t>
        </is>
      </c>
      <c r="M725" t="n">
        <v>0</v>
      </c>
      <c r="N725" t="n">
        <v>0</v>
      </c>
      <c r="O725" t="n">
        <v>36666.66666666666</v>
      </c>
      <c r="P725" t="n">
        <v>0</v>
      </c>
      <c r="Q725" t="n">
        <v>0</v>
      </c>
      <c r="R725" t="n">
        <v>0</v>
      </c>
      <c r="S725" t="n">
        <v>0</v>
      </c>
      <c r="T725" t="inlineStr">
        <is>
          <t>BSA</t>
        </is>
      </c>
      <c r="U725" t="inlineStr">
        <is>
          <t>BSA</t>
        </is>
      </c>
      <c r="X725" s="16" t="n">
        <v>45305</v>
      </c>
    </row>
    <row r="726">
      <c r="C726" t="inlineStr">
        <is>
          <t>BSA</t>
        </is>
      </c>
      <c r="D726" t="inlineStr">
        <is>
          <t>BSA</t>
        </is>
      </c>
      <c r="E726" t="inlineStr">
        <is>
          <t>당월</t>
        </is>
      </c>
      <c r="F726" t="inlineStr">
        <is>
          <t>12월 4주차</t>
        </is>
      </c>
      <c r="G726" t="inlineStr">
        <is>
          <t>네이버</t>
        </is>
      </c>
      <c r="H726" s="16" t="n">
        <v>45281</v>
      </c>
      <c r="I726" t="inlineStr">
        <is>
          <t>MO</t>
        </is>
      </c>
      <c r="J726" t="inlineStr">
        <is>
          <t>00.브랜드검색PCMO</t>
        </is>
      </c>
      <c r="K726" t="inlineStr">
        <is>
          <t>01.MO브랜드검색</t>
        </is>
      </c>
      <c r="M726" t="n">
        <v>0</v>
      </c>
      <c r="N726" t="n">
        <v>0</v>
      </c>
      <c r="O726" t="n">
        <v>51333.33333333334</v>
      </c>
      <c r="P726" t="n">
        <v>0</v>
      </c>
      <c r="Q726" t="n">
        <v>0</v>
      </c>
      <c r="R726" t="n">
        <v>0</v>
      </c>
      <c r="S726" t="n">
        <v>0</v>
      </c>
      <c r="T726" t="inlineStr">
        <is>
          <t>BSA</t>
        </is>
      </c>
      <c r="U726" t="inlineStr">
        <is>
          <t>BSA</t>
        </is>
      </c>
      <c r="X726" s="16" t="n">
        <v>45306</v>
      </c>
    </row>
    <row r="727">
      <c r="C727" t="inlineStr">
        <is>
          <t>BSA</t>
        </is>
      </c>
      <c r="D727" t="inlineStr">
        <is>
          <t>BSA</t>
        </is>
      </c>
      <c r="E727" t="inlineStr">
        <is>
          <t>당월</t>
        </is>
      </c>
      <c r="F727" t="inlineStr">
        <is>
          <t>12월 4주차</t>
        </is>
      </c>
      <c r="G727" t="inlineStr">
        <is>
          <t>네이버</t>
        </is>
      </c>
      <c r="H727" s="16" t="n">
        <v>45282</v>
      </c>
      <c r="I727" t="inlineStr">
        <is>
          <t>PC</t>
        </is>
      </c>
      <c r="J727" t="inlineStr">
        <is>
          <t>00.브랜드검색PCMO</t>
        </is>
      </c>
      <c r="K727" t="inlineStr">
        <is>
          <t>01.PC브랜드검색</t>
        </is>
      </c>
      <c r="M727" t="n">
        <v>0</v>
      </c>
      <c r="N727" t="n">
        <v>0</v>
      </c>
      <c r="O727" t="n">
        <v>36666.66666666666</v>
      </c>
      <c r="P727" t="n">
        <v>0</v>
      </c>
      <c r="Q727" t="n">
        <v>0</v>
      </c>
      <c r="R727" t="n">
        <v>0</v>
      </c>
      <c r="S727" t="n">
        <v>0</v>
      </c>
      <c r="T727" t="inlineStr">
        <is>
          <t>BSA</t>
        </is>
      </c>
      <c r="U727" t="inlineStr">
        <is>
          <t>BSA</t>
        </is>
      </c>
      <c r="X727" s="16" t="n">
        <v>45307</v>
      </c>
    </row>
    <row r="728">
      <c r="C728" t="inlineStr">
        <is>
          <t>BSA</t>
        </is>
      </c>
      <c r="D728" t="inlineStr">
        <is>
          <t>BSA</t>
        </is>
      </c>
      <c r="E728" t="inlineStr">
        <is>
          <t>당월</t>
        </is>
      </c>
      <c r="F728" t="inlineStr">
        <is>
          <t>12월 4주차</t>
        </is>
      </c>
      <c r="G728" t="inlineStr">
        <is>
          <t>네이버</t>
        </is>
      </c>
      <c r="H728" s="16" t="n">
        <v>45282</v>
      </c>
      <c r="I728" t="inlineStr">
        <is>
          <t>MO</t>
        </is>
      </c>
      <c r="J728" t="inlineStr">
        <is>
          <t>00.브랜드검색PCMO</t>
        </is>
      </c>
      <c r="K728" t="inlineStr">
        <is>
          <t>01.MO브랜드검색</t>
        </is>
      </c>
      <c r="M728" t="n">
        <v>0</v>
      </c>
      <c r="N728" t="n">
        <v>0</v>
      </c>
      <c r="O728" t="n">
        <v>51333.33333333334</v>
      </c>
      <c r="P728" t="n">
        <v>0</v>
      </c>
      <c r="Q728" t="n">
        <v>0</v>
      </c>
      <c r="R728" t="n">
        <v>0</v>
      </c>
      <c r="S728" t="n">
        <v>0</v>
      </c>
      <c r="T728" t="inlineStr">
        <is>
          <t>BSA</t>
        </is>
      </c>
      <c r="U728" t="inlineStr">
        <is>
          <t>BSA</t>
        </is>
      </c>
    </row>
    <row r="729">
      <c r="C729" t="inlineStr">
        <is>
          <t>BSA</t>
        </is>
      </c>
      <c r="D729" t="inlineStr">
        <is>
          <t>BSA</t>
        </is>
      </c>
      <c r="E729" t="inlineStr">
        <is>
          <t>당월</t>
        </is>
      </c>
      <c r="F729" t="inlineStr">
        <is>
          <t>12월 4주차</t>
        </is>
      </c>
      <c r="G729" t="inlineStr">
        <is>
          <t>네이버</t>
        </is>
      </c>
      <c r="H729" s="16" t="n">
        <v>45283</v>
      </c>
      <c r="I729" t="inlineStr">
        <is>
          <t>PC</t>
        </is>
      </c>
      <c r="J729" t="inlineStr">
        <is>
          <t>00.브랜드검색PCMO</t>
        </is>
      </c>
      <c r="K729" t="inlineStr">
        <is>
          <t>01.PC브랜드검색</t>
        </is>
      </c>
      <c r="M729" t="n">
        <v>0</v>
      </c>
      <c r="N729" t="n">
        <v>0</v>
      </c>
      <c r="O729" t="n">
        <v>36666.66666666666</v>
      </c>
      <c r="P729" t="n">
        <v>0</v>
      </c>
      <c r="Q729" t="n">
        <v>0</v>
      </c>
      <c r="R729" t="n">
        <v>0</v>
      </c>
      <c r="S729" t="n">
        <v>0</v>
      </c>
      <c r="T729" t="inlineStr">
        <is>
          <t>BSA</t>
        </is>
      </c>
      <c r="U729" t="inlineStr">
        <is>
          <t>BSA</t>
        </is>
      </c>
    </row>
    <row r="730">
      <c r="C730" t="inlineStr">
        <is>
          <t>BSA</t>
        </is>
      </c>
      <c r="D730" t="inlineStr">
        <is>
          <t>BSA</t>
        </is>
      </c>
      <c r="E730" t="inlineStr">
        <is>
          <t>당월</t>
        </is>
      </c>
      <c r="F730" t="inlineStr">
        <is>
          <t>12월 4주차</t>
        </is>
      </c>
      <c r="G730" t="inlineStr">
        <is>
          <t>네이버</t>
        </is>
      </c>
      <c r="H730" s="16" t="n">
        <v>45283</v>
      </c>
      <c r="I730" t="inlineStr">
        <is>
          <t>MO</t>
        </is>
      </c>
      <c r="J730" t="inlineStr">
        <is>
          <t>00.브랜드검색PCMO</t>
        </is>
      </c>
      <c r="K730" t="inlineStr">
        <is>
          <t>01.MO브랜드검색</t>
        </is>
      </c>
      <c r="M730" t="n">
        <v>0</v>
      </c>
      <c r="N730" t="n">
        <v>0</v>
      </c>
      <c r="O730" t="n">
        <v>51333.33333333334</v>
      </c>
      <c r="P730" t="n">
        <v>0</v>
      </c>
      <c r="Q730" t="n">
        <v>0</v>
      </c>
      <c r="R730" t="n">
        <v>0</v>
      </c>
      <c r="S730" t="n">
        <v>0</v>
      </c>
      <c r="T730" t="inlineStr">
        <is>
          <t>BSA</t>
        </is>
      </c>
      <c r="U730" t="inlineStr">
        <is>
          <t>BSA</t>
        </is>
      </c>
    </row>
    <row r="731">
      <c r="C731" t="inlineStr">
        <is>
          <t>BSA</t>
        </is>
      </c>
      <c r="D731" t="inlineStr">
        <is>
          <t>BSA</t>
        </is>
      </c>
      <c r="E731" t="inlineStr">
        <is>
          <t>당월</t>
        </is>
      </c>
      <c r="F731" t="inlineStr">
        <is>
          <t>12월 4주차</t>
        </is>
      </c>
      <c r="G731" t="inlineStr">
        <is>
          <t>네이버</t>
        </is>
      </c>
      <c r="H731" s="16" t="n">
        <v>45284</v>
      </c>
      <c r="I731" t="inlineStr">
        <is>
          <t>PC</t>
        </is>
      </c>
      <c r="J731" t="inlineStr">
        <is>
          <t>00.브랜드검색PCMO</t>
        </is>
      </c>
      <c r="K731" t="inlineStr">
        <is>
          <t>01.PC브랜드검색</t>
        </is>
      </c>
      <c r="M731" t="n">
        <v>0</v>
      </c>
      <c r="N731" t="n">
        <v>0</v>
      </c>
      <c r="O731" t="n">
        <v>36666.66666666666</v>
      </c>
      <c r="P731" t="n">
        <v>0</v>
      </c>
      <c r="Q731" t="n">
        <v>0</v>
      </c>
      <c r="R731" t="n">
        <v>0</v>
      </c>
      <c r="S731" t="n">
        <v>0</v>
      </c>
      <c r="T731" t="inlineStr">
        <is>
          <t>BSA</t>
        </is>
      </c>
      <c r="U731" t="inlineStr">
        <is>
          <t>BSA</t>
        </is>
      </c>
    </row>
    <row r="732">
      <c r="C732" t="inlineStr">
        <is>
          <t>BSA</t>
        </is>
      </c>
      <c r="D732" t="inlineStr">
        <is>
          <t>BSA</t>
        </is>
      </c>
      <c r="E732" t="inlineStr">
        <is>
          <t>당월</t>
        </is>
      </c>
      <c r="F732" t="inlineStr">
        <is>
          <t>12월 4주차</t>
        </is>
      </c>
      <c r="G732" t="inlineStr">
        <is>
          <t>네이버</t>
        </is>
      </c>
      <c r="H732" s="16" t="n">
        <v>45284</v>
      </c>
      <c r="I732" t="inlineStr">
        <is>
          <t>MO</t>
        </is>
      </c>
      <c r="J732" t="inlineStr">
        <is>
          <t>00.브랜드검색PCMO</t>
        </is>
      </c>
      <c r="K732" t="inlineStr">
        <is>
          <t>01.MO브랜드검색</t>
        </is>
      </c>
      <c r="M732" t="n">
        <v>0</v>
      </c>
      <c r="N732" t="n">
        <v>0</v>
      </c>
      <c r="O732" t="n">
        <v>51333.33333333334</v>
      </c>
      <c r="P732" t="n">
        <v>0</v>
      </c>
      <c r="Q732" t="n">
        <v>0</v>
      </c>
      <c r="R732" t="n">
        <v>0</v>
      </c>
      <c r="S732" t="n">
        <v>0</v>
      </c>
      <c r="T732" t="inlineStr">
        <is>
          <t>BSA</t>
        </is>
      </c>
      <c r="U732" t="inlineStr">
        <is>
          <t>BSA</t>
        </is>
      </c>
    </row>
    <row r="733">
      <c r="C733" t="inlineStr">
        <is>
          <t>BSA</t>
        </is>
      </c>
      <c r="D733" t="inlineStr">
        <is>
          <t>BSA</t>
        </is>
      </c>
      <c r="E733" t="inlineStr">
        <is>
          <t>당월</t>
        </is>
      </c>
      <c r="F733" t="inlineStr">
        <is>
          <t>12월 4주차</t>
        </is>
      </c>
      <c r="G733" t="inlineStr">
        <is>
          <t>네이버</t>
        </is>
      </c>
      <c r="H733" s="16" t="n">
        <v>45285</v>
      </c>
      <c r="I733" t="inlineStr">
        <is>
          <t>PC</t>
        </is>
      </c>
      <c r="J733" t="inlineStr">
        <is>
          <t>00.브랜드검색PCMO</t>
        </is>
      </c>
      <c r="K733" t="inlineStr">
        <is>
          <t>01.PC브랜드검색</t>
        </is>
      </c>
      <c r="M733" t="n">
        <v>0</v>
      </c>
      <c r="N733" t="n">
        <v>0</v>
      </c>
      <c r="O733" t="n">
        <v>36666.66666666666</v>
      </c>
      <c r="P733" t="n">
        <v>0</v>
      </c>
      <c r="Q733" t="n">
        <v>0</v>
      </c>
      <c r="R733" t="n">
        <v>0</v>
      </c>
      <c r="S733" t="n">
        <v>0</v>
      </c>
      <c r="T733" t="inlineStr">
        <is>
          <t>BSA</t>
        </is>
      </c>
      <c r="U733" t="inlineStr">
        <is>
          <t>BSA</t>
        </is>
      </c>
    </row>
    <row r="734">
      <c r="C734" t="inlineStr">
        <is>
          <t>BSA</t>
        </is>
      </c>
      <c r="D734" t="inlineStr">
        <is>
          <t>BSA</t>
        </is>
      </c>
      <c r="E734" t="inlineStr">
        <is>
          <t>당월</t>
        </is>
      </c>
      <c r="F734" t="inlineStr">
        <is>
          <t>12월 4주차</t>
        </is>
      </c>
      <c r="G734" t="inlineStr">
        <is>
          <t>네이버</t>
        </is>
      </c>
      <c r="H734" s="16" t="n">
        <v>45285</v>
      </c>
      <c r="I734" t="inlineStr">
        <is>
          <t>MO</t>
        </is>
      </c>
      <c r="J734" t="inlineStr">
        <is>
          <t>00.브랜드검색PCMO</t>
        </is>
      </c>
      <c r="K734" t="inlineStr">
        <is>
          <t>01.MO브랜드검색</t>
        </is>
      </c>
      <c r="M734" t="n">
        <v>0</v>
      </c>
      <c r="N734" t="n">
        <v>0</v>
      </c>
      <c r="O734" t="n">
        <v>51333.33333333334</v>
      </c>
      <c r="P734" t="n">
        <v>0</v>
      </c>
      <c r="Q734" t="n">
        <v>0</v>
      </c>
      <c r="R734" t="n">
        <v>0</v>
      </c>
      <c r="S734" t="n">
        <v>0</v>
      </c>
      <c r="T734" t="inlineStr">
        <is>
          <t>BSA</t>
        </is>
      </c>
      <c r="U734" t="inlineStr">
        <is>
          <t>BSA</t>
        </is>
      </c>
    </row>
    <row r="735">
      <c r="H735" s="16" t="n"/>
    </row>
    <row r="736">
      <c r="H736" s="16" t="n"/>
    </row>
    <row r="737">
      <c r="C737" t="inlineStr">
        <is>
          <t>BSA</t>
        </is>
      </c>
      <c r="D737" t="inlineStr">
        <is>
          <t>BSA</t>
        </is>
      </c>
      <c r="E737" t="inlineStr">
        <is>
          <t>당월</t>
        </is>
      </c>
      <c r="F737" s="12" t="inlineStr">
        <is>
          <t>12월 5주차</t>
        </is>
      </c>
      <c r="G737" t="inlineStr">
        <is>
          <t>네이버</t>
        </is>
      </c>
      <c r="H737" s="16" t="n">
        <v>45286</v>
      </c>
      <c r="I737" t="inlineStr">
        <is>
          <t>PC</t>
        </is>
      </c>
      <c r="J737" t="inlineStr">
        <is>
          <t>00.브랜드검색PCMO</t>
        </is>
      </c>
      <c r="K737" t="inlineStr">
        <is>
          <t>01.PC브랜드검색</t>
        </is>
      </c>
      <c r="M737" t="n">
        <v>0</v>
      </c>
      <c r="N737" t="n">
        <v>0</v>
      </c>
      <c r="O737" t="n">
        <v>36666.66666666666</v>
      </c>
      <c r="P737" t="n">
        <v>0</v>
      </c>
      <c r="Q737" t="n">
        <v>0</v>
      </c>
      <c r="R737" t="n">
        <v>0</v>
      </c>
      <c r="S737" t="n">
        <v>0</v>
      </c>
      <c r="T737" t="inlineStr">
        <is>
          <t>BSA</t>
        </is>
      </c>
      <c r="U737" t="inlineStr">
        <is>
          <t>BSA</t>
        </is>
      </c>
    </row>
    <row r="738">
      <c r="C738" t="inlineStr">
        <is>
          <t>BSA</t>
        </is>
      </c>
      <c r="D738" t="inlineStr">
        <is>
          <t>BSA</t>
        </is>
      </c>
      <c r="E738" t="inlineStr">
        <is>
          <t>당월</t>
        </is>
      </c>
      <c r="F738" s="12" t="inlineStr">
        <is>
          <t>12월 5주차</t>
        </is>
      </c>
      <c r="G738" t="inlineStr">
        <is>
          <t>네이버</t>
        </is>
      </c>
      <c r="H738" s="16" t="n">
        <v>45286</v>
      </c>
      <c r="I738" t="inlineStr">
        <is>
          <t>MO</t>
        </is>
      </c>
      <c r="J738" t="inlineStr">
        <is>
          <t>00.브랜드검색PCMO</t>
        </is>
      </c>
      <c r="K738" t="inlineStr">
        <is>
          <t>01.MO브랜드검색</t>
        </is>
      </c>
      <c r="M738" t="n">
        <v>0</v>
      </c>
      <c r="N738" t="n">
        <v>0</v>
      </c>
      <c r="O738" t="n">
        <v>51333.33333333334</v>
      </c>
      <c r="P738" t="n">
        <v>0</v>
      </c>
      <c r="Q738" t="n">
        <v>0</v>
      </c>
      <c r="R738" t="n">
        <v>0</v>
      </c>
      <c r="S738" t="n">
        <v>0</v>
      </c>
      <c r="T738" t="inlineStr">
        <is>
          <t>BSA</t>
        </is>
      </c>
      <c r="U738" t="inlineStr">
        <is>
          <t>BSA</t>
        </is>
      </c>
    </row>
    <row r="739">
      <c r="C739" t="inlineStr">
        <is>
          <t>BSA</t>
        </is>
      </c>
      <c r="D739" t="inlineStr">
        <is>
          <t>BSA</t>
        </is>
      </c>
      <c r="E739" t="inlineStr">
        <is>
          <t>당월</t>
        </is>
      </c>
      <c r="F739" s="12" t="inlineStr">
        <is>
          <t>12월 5주차</t>
        </is>
      </c>
      <c r="G739" t="inlineStr">
        <is>
          <t>네이버</t>
        </is>
      </c>
      <c r="H739" s="16" t="n">
        <v>45287</v>
      </c>
      <c r="I739" t="inlineStr">
        <is>
          <t>PC</t>
        </is>
      </c>
      <c r="J739" t="inlineStr">
        <is>
          <t>00.브랜드검색PCMO</t>
        </is>
      </c>
      <c r="K739" t="inlineStr">
        <is>
          <t>01.PC브랜드검색</t>
        </is>
      </c>
      <c r="M739" t="n">
        <v>0</v>
      </c>
      <c r="N739" t="n">
        <v>0</v>
      </c>
      <c r="O739" t="n">
        <v>36666.66666666666</v>
      </c>
      <c r="P739" t="n">
        <v>0</v>
      </c>
      <c r="Q739" t="n">
        <v>0</v>
      </c>
      <c r="R739" t="n">
        <v>0</v>
      </c>
      <c r="S739" t="n">
        <v>0</v>
      </c>
      <c r="T739" t="inlineStr">
        <is>
          <t>BSA</t>
        </is>
      </c>
      <c r="U739" t="inlineStr">
        <is>
          <t>BSA</t>
        </is>
      </c>
    </row>
    <row r="740">
      <c r="C740" t="inlineStr">
        <is>
          <t>BSA</t>
        </is>
      </c>
      <c r="D740" t="inlineStr">
        <is>
          <t>BSA</t>
        </is>
      </c>
      <c r="E740" t="inlineStr">
        <is>
          <t>당월</t>
        </is>
      </c>
      <c r="F740" s="12" t="inlineStr">
        <is>
          <t>12월 5주차</t>
        </is>
      </c>
      <c r="G740" t="inlineStr">
        <is>
          <t>네이버</t>
        </is>
      </c>
      <c r="H740" s="16" t="n">
        <v>45287</v>
      </c>
      <c r="I740" t="inlineStr">
        <is>
          <t>MO</t>
        </is>
      </c>
      <c r="J740" t="inlineStr">
        <is>
          <t>00.브랜드검색PCMO</t>
        </is>
      </c>
      <c r="K740" t="inlineStr">
        <is>
          <t>01.MO브랜드검색</t>
        </is>
      </c>
      <c r="M740" t="n">
        <v>0</v>
      </c>
      <c r="N740" t="n">
        <v>0</v>
      </c>
      <c r="O740" t="n">
        <v>51333.33333333334</v>
      </c>
      <c r="P740" t="n">
        <v>0</v>
      </c>
      <c r="Q740" t="n">
        <v>0</v>
      </c>
      <c r="R740" t="n">
        <v>0</v>
      </c>
      <c r="S740" t="n">
        <v>0</v>
      </c>
      <c r="T740" t="inlineStr">
        <is>
          <t>BSA</t>
        </is>
      </c>
      <c r="U740" t="inlineStr">
        <is>
          <t>BSA</t>
        </is>
      </c>
    </row>
    <row r="741">
      <c r="C741" t="inlineStr">
        <is>
          <t>BSA</t>
        </is>
      </c>
      <c r="D741" t="inlineStr">
        <is>
          <t>BSA</t>
        </is>
      </c>
      <c r="E741" t="inlineStr">
        <is>
          <t>당월</t>
        </is>
      </c>
      <c r="F741" s="12" t="inlineStr">
        <is>
          <t>12월 5주차</t>
        </is>
      </c>
      <c r="G741" t="inlineStr">
        <is>
          <t>네이버</t>
        </is>
      </c>
      <c r="H741" s="16" t="n">
        <v>45288</v>
      </c>
      <c r="I741" t="inlineStr">
        <is>
          <t>PC</t>
        </is>
      </c>
      <c r="J741" t="inlineStr">
        <is>
          <t>00.브랜드검색PCMO</t>
        </is>
      </c>
      <c r="K741" t="inlineStr">
        <is>
          <t>01.PC브랜드검색</t>
        </is>
      </c>
      <c r="M741" t="n">
        <v>0</v>
      </c>
      <c r="N741" t="n">
        <v>0</v>
      </c>
      <c r="O741" t="n">
        <v>36666.66666666666</v>
      </c>
      <c r="P741" t="n">
        <v>0</v>
      </c>
      <c r="Q741" t="n">
        <v>0</v>
      </c>
      <c r="R741" t="n">
        <v>0</v>
      </c>
      <c r="S741" t="n">
        <v>0</v>
      </c>
      <c r="T741" t="inlineStr">
        <is>
          <t>BSA</t>
        </is>
      </c>
      <c r="U741" t="inlineStr">
        <is>
          <t>BSA</t>
        </is>
      </c>
    </row>
    <row r="742">
      <c r="C742" t="inlineStr">
        <is>
          <t>BSA</t>
        </is>
      </c>
      <c r="D742" t="inlineStr">
        <is>
          <t>BSA</t>
        </is>
      </c>
      <c r="E742" t="inlineStr">
        <is>
          <t>당월</t>
        </is>
      </c>
      <c r="F742" s="12" t="inlineStr">
        <is>
          <t>12월 5주차</t>
        </is>
      </c>
      <c r="G742" t="inlineStr">
        <is>
          <t>네이버</t>
        </is>
      </c>
      <c r="H742" s="16" t="n">
        <v>45288</v>
      </c>
      <c r="I742" t="inlineStr">
        <is>
          <t>MO</t>
        </is>
      </c>
      <c r="J742" t="inlineStr">
        <is>
          <t>00.브랜드검색PCMO</t>
        </is>
      </c>
      <c r="K742" t="inlineStr">
        <is>
          <t>01.MO브랜드검색</t>
        </is>
      </c>
      <c r="M742" t="n">
        <v>0</v>
      </c>
      <c r="N742" t="n">
        <v>0</v>
      </c>
      <c r="O742" t="n">
        <v>51333.33333333334</v>
      </c>
      <c r="P742" t="n">
        <v>0</v>
      </c>
      <c r="Q742" t="n">
        <v>0</v>
      </c>
      <c r="R742" t="n">
        <v>0</v>
      </c>
      <c r="S742" t="n">
        <v>0</v>
      </c>
      <c r="T742" t="inlineStr">
        <is>
          <t>BSA</t>
        </is>
      </c>
      <c r="U742" t="inlineStr">
        <is>
          <t>BSA</t>
        </is>
      </c>
    </row>
    <row r="743">
      <c r="C743" t="inlineStr">
        <is>
          <t>BSA</t>
        </is>
      </c>
      <c r="D743" t="inlineStr">
        <is>
          <t>BSA</t>
        </is>
      </c>
      <c r="E743" t="inlineStr">
        <is>
          <t>당월</t>
        </is>
      </c>
      <c r="F743" s="12" t="inlineStr">
        <is>
          <t>12월 5주차</t>
        </is>
      </c>
      <c r="G743" t="inlineStr">
        <is>
          <t>네이버</t>
        </is>
      </c>
      <c r="H743" s="16" t="n">
        <v>45289</v>
      </c>
      <c r="I743" t="inlineStr">
        <is>
          <t>PC</t>
        </is>
      </c>
      <c r="J743" t="inlineStr">
        <is>
          <t>00.브랜드검색PCMO</t>
        </is>
      </c>
      <c r="K743" t="inlineStr">
        <is>
          <t>01.PC브랜드검색</t>
        </is>
      </c>
      <c r="M743" t="n">
        <v>0</v>
      </c>
      <c r="N743" t="n">
        <v>0</v>
      </c>
      <c r="O743" t="n">
        <v>36666.66666666666</v>
      </c>
      <c r="P743" t="n">
        <v>0</v>
      </c>
      <c r="Q743" t="n">
        <v>0</v>
      </c>
      <c r="R743" t="n">
        <v>0</v>
      </c>
      <c r="S743" t="n">
        <v>0</v>
      </c>
      <c r="T743" t="inlineStr">
        <is>
          <t>BSA</t>
        </is>
      </c>
      <c r="U743" t="inlineStr">
        <is>
          <t>BSA</t>
        </is>
      </c>
    </row>
    <row r="744">
      <c r="C744" t="inlineStr">
        <is>
          <t>BSA</t>
        </is>
      </c>
      <c r="D744" t="inlineStr">
        <is>
          <t>BSA</t>
        </is>
      </c>
      <c r="E744" t="inlineStr">
        <is>
          <t>당월</t>
        </is>
      </c>
      <c r="F744" s="12" t="inlineStr">
        <is>
          <t>12월 5주차</t>
        </is>
      </c>
      <c r="G744" t="inlineStr">
        <is>
          <t>네이버</t>
        </is>
      </c>
      <c r="H744" s="16" t="n">
        <v>45289</v>
      </c>
      <c r="I744" t="inlineStr">
        <is>
          <t>MO</t>
        </is>
      </c>
      <c r="J744" t="inlineStr">
        <is>
          <t>00.브랜드검색PCMO</t>
        </is>
      </c>
      <c r="K744" t="inlineStr">
        <is>
          <t>01.MO브랜드검색</t>
        </is>
      </c>
      <c r="M744" t="n">
        <v>0</v>
      </c>
      <c r="N744" t="n">
        <v>0</v>
      </c>
      <c r="O744" t="n">
        <v>51333.33333333334</v>
      </c>
      <c r="P744" t="n">
        <v>0</v>
      </c>
      <c r="Q744" t="n">
        <v>0</v>
      </c>
      <c r="R744" t="n">
        <v>0</v>
      </c>
      <c r="S744" t="n">
        <v>0</v>
      </c>
      <c r="T744" t="inlineStr">
        <is>
          <t>BSA</t>
        </is>
      </c>
      <c r="U744" t="inlineStr">
        <is>
          <t>BSA</t>
        </is>
      </c>
    </row>
    <row r="745">
      <c r="C745" t="inlineStr">
        <is>
          <t>BSA</t>
        </is>
      </c>
      <c r="D745" t="inlineStr">
        <is>
          <t>BSA</t>
        </is>
      </c>
      <c r="E745" t="inlineStr">
        <is>
          <t>당월</t>
        </is>
      </c>
      <c r="F745" s="12" t="inlineStr">
        <is>
          <t>12월 5주차</t>
        </is>
      </c>
      <c r="G745" t="inlineStr">
        <is>
          <t>네이버</t>
        </is>
      </c>
      <c r="H745" s="16" t="n">
        <v>45290</v>
      </c>
      <c r="I745" t="inlineStr">
        <is>
          <t>PC</t>
        </is>
      </c>
      <c r="J745" t="inlineStr">
        <is>
          <t>00.브랜드검색PCMO</t>
        </is>
      </c>
      <c r="K745" t="inlineStr">
        <is>
          <t>01.PC브랜드검색</t>
        </is>
      </c>
      <c r="M745" t="n">
        <v>0</v>
      </c>
      <c r="N745" t="n">
        <v>0</v>
      </c>
      <c r="O745" t="n">
        <v>36666.66666666666</v>
      </c>
      <c r="P745" t="n">
        <v>0</v>
      </c>
      <c r="Q745" t="n">
        <v>0</v>
      </c>
      <c r="R745" t="n">
        <v>0</v>
      </c>
      <c r="S745" t="n">
        <v>0</v>
      </c>
      <c r="T745" t="inlineStr">
        <is>
          <t>BSA</t>
        </is>
      </c>
      <c r="U745" t="inlineStr">
        <is>
          <t>BSA</t>
        </is>
      </c>
    </row>
    <row r="746">
      <c r="C746" t="inlineStr">
        <is>
          <t>BSA</t>
        </is>
      </c>
      <c r="D746" t="inlineStr">
        <is>
          <t>BSA</t>
        </is>
      </c>
      <c r="E746" t="inlineStr">
        <is>
          <t>당월</t>
        </is>
      </c>
      <c r="F746" s="12" t="inlineStr">
        <is>
          <t>12월 5주차</t>
        </is>
      </c>
      <c r="G746" t="inlineStr">
        <is>
          <t>네이버</t>
        </is>
      </c>
      <c r="H746" s="16" t="n">
        <v>45290</v>
      </c>
      <c r="I746" t="inlineStr">
        <is>
          <t>MO</t>
        </is>
      </c>
      <c r="J746" t="inlineStr">
        <is>
          <t>00.브랜드검색PCMO</t>
        </is>
      </c>
      <c r="K746" t="inlineStr">
        <is>
          <t>01.MO브랜드검색</t>
        </is>
      </c>
      <c r="M746" t="n">
        <v>0</v>
      </c>
      <c r="N746" t="n">
        <v>0</v>
      </c>
      <c r="O746" t="n">
        <v>51333.33333333334</v>
      </c>
      <c r="P746" t="n">
        <v>0</v>
      </c>
      <c r="Q746" t="n">
        <v>0</v>
      </c>
      <c r="R746" t="n">
        <v>0</v>
      </c>
      <c r="S746" t="n">
        <v>0</v>
      </c>
      <c r="T746" t="inlineStr">
        <is>
          <t>BSA</t>
        </is>
      </c>
      <c r="U746" t="inlineStr">
        <is>
          <t>BSA</t>
        </is>
      </c>
    </row>
    <row r="747">
      <c r="C747" t="inlineStr">
        <is>
          <t>BSA</t>
        </is>
      </c>
      <c r="D747" t="inlineStr">
        <is>
          <t>BSA</t>
        </is>
      </c>
      <c r="E747" t="inlineStr">
        <is>
          <t>당월</t>
        </is>
      </c>
      <c r="F747" s="12" t="inlineStr">
        <is>
          <t>12월 5주차</t>
        </is>
      </c>
      <c r="G747" t="inlineStr">
        <is>
          <t>네이버</t>
        </is>
      </c>
      <c r="H747" s="16" t="n">
        <v>45291</v>
      </c>
      <c r="I747" t="inlineStr">
        <is>
          <t>PC</t>
        </is>
      </c>
      <c r="J747" t="inlineStr">
        <is>
          <t>00.브랜드검색PCMO</t>
        </is>
      </c>
      <c r="K747" t="inlineStr">
        <is>
          <t>01.PC브랜드검색</t>
        </is>
      </c>
      <c r="M747" t="n">
        <v>0</v>
      </c>
      <c r="N747" t="n">
        <v>0</v>
      </c>
      <c r="O747" t="n">
        <v>36666.66666666666</v>
      </c>
      <c r="P747" t="n">
        <v>0</v>
      </c>
      <c r="Q747" t="n">
        <v>0</v>
      </c>
      <c r="R747" t="n">
        <v>0</v>
      </c>
      <c r="S747" t="n">
        <v>0</v>
      </c>
      <c r="T747" t="inlineStr">
        <is>
          <t>BSA</t>
        </is>
      </c>
      <c r="U747" t="inlineStr">
        <is>
          <t>BSA</t>
        </is>
      </c>
      <c r="X747" s="16" t="n">
        <v>45297</v>
      </c>
    </row>
    <row r="748">
      <c r="C748" t="inlineStr">
        <is>
          <t>BSA</t>
        </is>
      </c>
      <c r="D748" t="inlineStr">
        <is>
          <t>BSA</t>
        </is>
      </c>
      <c r="E748" t="inlineStr">
        <is>
          <t>당월</t>
        </is>
      </c>
      <c r="F748" s="12" t="inlineStr">
        <is>
          <t>12월 5주차</t>
        </is>
      </c>
      <c r="G748" t="inlineStr">
        <is>
          <t>네이버</t>
        </is>
      </c>
      <c r="H748" s="16" t="n">
        <v>45291</v>
      </c>
      <c r="I748" t="inlineStr">
        <is>
          <t>MO</t>
        </is>
      </c>
      <c r="J748" t="inlineStr">
        <is>
          <t>00.브랜드검색PCMO</t>
        </is>
      </c>
      <c r="K748" t="inlineStr">
        <is>
          <t>01.MO브랜드검색</t>
        </is>
      </c>
      <c r="M748" t="n">
        <v>0</v>
      </c>
      <c r="N748" t="n">
        <v>0</v>
      </c>
      <c r="O748" t="n">
        <v>51333.33333333334</v>
      </c>
      <c r="P748" t="n">
        <v>0</v>
      </c>
      <c r="Q748" t="n">
        <v>0</v>
      </c>
      <c r="R748" t="n">
        <v>0</v>
      </c>
      <c r="S748" t="n">
        <v>0</v>
      </c>
      <c r="T748" t="inlineStr">
        <is>
          <t>BSA</t>
        </is>
      </c>
      <c r="U748" t="inlineStr">
        <is>
          <t>BSA</t>
        </is>
      </c>
      <c r="X748" s="16" t="n">
        <v>45298</v>
      </c>
    </row>
    <row r="749">
      <c r="C749" t="inlineStr">
        <is>
          <t>BSA</t>
        </is>
      </c>
      <c r="D749" t="inlineStr">
        <is>
          <t>BSA</t>
        </is>
      </c>
      <c r="E749" t="inlineStr">
        <is>
          <t>당월</t>
        </is>
      </c>
      <c r="F749" s="12" t="inlineStr">
        <is>
          <t>12월 5주차</t>
        </is>
      </c>
      <c r="G749" t="inlineStr">
        <is>
          <t>네이버</t>
        </is>
      </c>
      <c r="H749" s="16" t="n">
        <v>45292</v>
      </c>
      <c r="I749" t="inlineStr">
        <is>
          <t>PC</t>
        </is>
      </c>
      <c r="J749" t="inlineStr">
        <is>
          <t>00.브랜드검색PCMO</t>
        </is>
      </c>
      <c r="K749" t="inlineStr">
        <is>
          <t>01.PC브랜드검색</t>
        </is>
      </c>
      <c r="M749" t="n">
        <v>0</v>
      </c>
      <c r="N749" t="n">
        <v>0</v>
      </c>
      <c r="O749" t="n">
        <v>36666.66666666666</v>
      </c>
      <c r="P749" t="n">
        <v>0</v>
      </c>
      <c r="Q749" t="n">
        <v>0</v>
      </c>
      <c r="R749" t="n">
        <v>0</v>
      </c>
      <c r="S749" t="n">
        <v>0</v>
      </c>
      <c r="T749" t="inlineStr">
        <is>
          <t>BSA</t>
        </is>
      </c>
      <c r="U749" t="inlineStr">
        <is>
          <t>BSA</t>
        </is>
      </c>
      <c r="X749" s="16" t="n">
        <v>45299</v>
      </c>
    </row>
    <row r="750">
      <c r="C750" t="inlineStr">
        <is>
          <t>BSA</t>
        </is>
      </c>
      <c r="D750" t="inlineStr">
        <is>
          <t>BSA</t>
        </is>
      </c>
      <c r="E750" t="inlineStr">
        <is>
          <t>당월</t>
        </is>
      </c>
      <c r="F750" s="12" t="inlineStr">
        <is>
          <t>12월 5주차</t>
        </is>
      </c>
      <c r="G750" t="inlineStr">
        <is>
          <t>네이버</t>
        </is>
      </c>
      <c r="H750" s="16" t="n">
        <v>45292</v>
      </c>
      <c r="I750" t="inlineStr">
        <is>
          <t>MO</t>
        </is>
      </c>
      <c r="J750" t="inlineStr">
        <is>
          <t>00.브랜드검색PCMO</t>
        </is>
      </c>
      <c r="K750" t="inlineStr">
        <is>
          <t>01.MO브랜드검색</t>
        </is>
      </c>
      <c r="M750" t="n">
        <v>0</v>
      </c>
      <c r="N750" t="n">
        <v>0</v>
      </c>
      <c r="O750" t="n">
        <v>51333.33333333334</v>
      </c>
      <c r="P750" t="n">
        <v>0</v>
      </c>
      <c r="Q750" t="n">
        <v>0</v>
      </c>
      <c r="R750" t="n">
        <v>0</v>
      </c>
      <c r="S750" t="n">
        <v>0</v>
      </c>
      <c r="T750" t="inlineStr">
        <is>
          <t>BSA</t>
        </is>
      </c>
      <c r="U750" t="inlineStr">
        <is>
          <t>BSA</t>
        </is>
      </c>
      <c r="X750" s="16" t="n">
        <v>45300</v>
      </c>
    </row>
    <row r="751">
      <c r="H751" s="16" t="n"/>
      <c r="X751" s="16" t="n">
        <v>45301</v>
      </c>
    </row>
    <row r="752">
      <c r="H752" s="16" t="n"/>
      <c r="X752" s="16" t="n">
        <v>45302</v>
      </c>
    </row>
    <row r="753">
      <c r="X753" s="16" t="n">
        <v>45303</v>
      </c>
    </row>
    <row r="754">
      <c r="X754" s="16" t="n">
        <v>45304</v>
      </c>
    </row>
    <row r="755">
      <c r="X755" s="16" t="n">
        <v>45305</v>
      </c>
    </row>
    <row r="756">
      <c r="C756" t="inlineStr">
        <is>
          <t>BSA</t>
        </is>
      </c>
      <c r="D756" t="inlineStr">
        <is>
          <t>BSA</t>
        </is>
      </c>
      <c r="E756" t="inlineStr">
        <is>
          <t>당월</t>
        </is>
      </c>
      <c r="F756" s="12" t="inlineStr">
        <is>
          <t>1월 1주차</t>
        </is>
      </c>
      <c r="G756" t="inlineStr">
        <is>
          <t>네이버</t>
        </is>
      </c>
      <c r="H756" s="16" t="n">
        <v>45293</v>
      </c>
      <c r="I756" t="inlineStr">
        <is>
          <t>PC</t>
        </is>
      </c>
      <c r="J756" t="inlineStr">
        <is>
          <t>00.브랜드검색PCMO</t>
        </is>
      </c>
      <c r="K756" t="inlineStr">
        <is>
          <t>01.PC브랜드검색</t>
        </is>
      </c>
      <c r="M756" t="n">
        <v>0</v>
      </c>
      <c r="N756" t="n">
        <v>0</v>
      </c>
      <c r="O756" t="n">
        <v>36666.66666666666</v>
      </c>
      <c r="P756" t="n">
        <v>0</v>
      </c>
      <c r="Q756" t="n">
        <v>0</v>
      </c>
      <c r="R756" t="n">
        <v>0</v>
      </c>
      <c r="S756" t="n">
        <v>0</v>
      </c>
      <c r="T756" t="inlineStr">
        <is>
          <t>BSA</t>
        </is>
      </c>
      <c r="U756" t="inlineStr">
        <is>
          <t>BSA</t>
        </is>
      </c>
      <c r="X756" s="16" t="n">
        <v>45306</v>
      </c>
    </row>
    <row r="757">
      <c r="C757" t="inlineStr">
        <is>
          <t>BSA</t>
        </is>
      </c>
      <c r="D757" t="inlineStr">
        <is>
          <t>BSA</t>
        </is>
      </c>
      <c r="E757" t="inlineStr">
        <is>
          <t>당월</t>
        </is>
      </c>
      <c r="F757" s="12" t="inlineStr">
        <is>
          <t>1월 1주차</t>
        </is>
      </c>
      <c r="G757" t="inlineStr">
        <is>
          <t>네이버</t>
        </is>
      </c>
      <c r="H757" s="16" t="n">
        <v>45293</v>
      </c>
      <c r="I757" t="inlineStr">
        <is>
          <t>MO</t>
        </is>
      </c>
      <c r="J757" t="inlineStr">
        <is>
          <t>00.브랜드검색PCMO</t>
        </is>
      </c>
      <c r="K757" t="inlineStr">
        <is>
          <t>01.MO브랜드검색</t>
        </is>
      </c>
      <c r="M757" t="n">
        <v>0</v>
      </c>
      <c r="N757" t="n">
        <v>0</v>
      </c>
      <c r="O757" t="n">
        <v>51333.33333333334</v>
      </c>
      <c r="P757" t="n">
        <v>0</v>
      </c>
      <c r="Q757" t="n">
        <v>0</v>
      </c>
      <c r="R757" t="n">
        <v>0</v>
      </c>
      <c r="S757" t="n">
        <v>0</v>
      </c>
      <c r="T757" t="inlineStr">
        <is>
          <t>BSA</t>
        </is>
      </c>
      <c r="U757" t="inlineStr">
        <is>
          <t>BSA</t>
        </is>
      </c>
      <c r="X757" s="16" t="n">
        <v>45307</v>
      </c>
    </row>
    <row r="758">
      <c r="C758" t="inlineStr">
        <is>
          <t>BSA</t>
        </is>
      </c>
      <c r="D758" t="inlineStr">
        <is>
          <t>BSA</t>
        </is>
      </c>
      <c r="E758" t="inlineStr">
        <is>
          <t>당월</t>
        </is>
      </c>
      <c r="F758" s="12" t="inlineStr">
        <is>
          <t>1월 1주차</t>
        </is>
      </c>
      <c r="G758" t="inlineStr">
        <is>
          <t>네이버</t>
        </is>
      </c>
      <c r="H758" s="16" t="n">
        <v>45294</v>
      </c>
      <c r="I758" t="inlineStr">
        <is>
          <t>PC</t>
        </is>
      </c>
      <c r="J758" t="inlineStr">
        <is>
          <t>00.브랜드검색PCMO</t>
        </is>
      </c>
      <c r="K758" t="inlineStr">
        <is>
          <t>01.PC브랜드검색</t>
        </is>
      </c>
      <c r="M758" t="n">
        <v>0</v>
      </c>
      <c r="N758" t="n">
        <v>0</v>
      </c>
      <c r="O758" t="n">
        <v>36666.66666666666</v>
      </c>
      <c r="P758" t="n">
        <v>0</v>
      </c>
      <c r="Q758" t="n">
        <v>0</v>
      </c>
      <c r="R758" t="n">
        <v>0</v>
      </c>
      <c r="S758" t="n">
        <v>0</v>
      </c>
      <c r="T758" t="inlineStr">
        <is>
          <t>BSA</t>
        </is>
      </c>
      <c r="U758" t="inlineStr">
        <is>
          <t>BSA</t>
        </is>
      </c>
      <c r="X758" s="16" t="n">
        <v>45308</v>
      </c>
    </row>
    <row r="759">
      <c r="C759" t="inlineStr">
        <is>
          <t>BSA</t>
        </is>
      </c>
      <c r="D759" t="inlineStr">
        <is>
          <t>BSA</t>
        </is>
      </c>
      <c r="E759" t="inlineStr">
        <is>
          <t>당월</t>
        </is>
      </c>
      <c r="F759" s="12" t="inlineStr">
        <is>
          <t>1월 1주차</t>
        </is>
      </c>
      <c r="G759" t="inlineStr">
        <is>
          <t>네이버</t>
        </is>
      </c>
      <c r="H759" s="16" t="n">
        <v>45294</v>
      </c>
      <c r="I759" t="inlineStr">
        <is>
          <t>MO</t>
        </is>
      </c>
      <c r="J759" t="inlineStr">
        <is>
          <t>00.브랜드검색PCMO</t>
        </is>
      </c>
      <c r="K759" t="inlineStr">
        <is>
          <t>01.MO브랜드검색</t>
        </is>
      </c>
      <c r="M759" t="n">
        <v>0</v>
      </c>
      <c r="N759" t="n">
        <v>0</v>
      </c>
      <c r="O759" t="n">
        <v>51333.33333333334</v>
      </c>
      <c r="P759" t="n">
        <v>0</v>
      </c>
      <c r="Q759" t="n">
        <v>0</v>
      </c>
      <c r="R759" t="n">
        <v>0</v>
      </c>
      <c r="S759" t="n">
        <v>0</v>
      </c>
      <c r="T759" t="inlineStr">
        <is>
          <t>BSA</t>
        </is>
      </c>
      <c r="U759" t="inlineStr">
        <is>
          <t>BSA</t>
        </is>
      </c>
      <c r="X759" s="16" t="n">
        <v>45309</v>
      </c>
    </row>
    <row r="760">
      <c r="C760" t="inlineStr">
        <is>
          <t>BSA</t>
        </is>
      </c>
      <c r="D760" t="inlineStr">
        <is>
          <t>BSA</t>
        </is>
      </c>
      <c r="E760" t="inlineStr">
        <is>
          <t>당월</t>
        </is>
      </c>
      <c r="F760" s="12" t="inlineStr">
        <is>
          <t>1월 1주차</t>
        </is>
      </c>
      <c r="G760" t="inlineStr">
        <is>
          <t>네이버</t>
        </is>
      </c>
      <c r="H760" s="16" t="n">
        <v>45295</v>
      </c>
      <c r="I760" t="inlineStr">
        <is>
          <t>PC</t>
        </is>
      </c>
      <c r="J760" t="inlineStr">
        <is>
          <t>00.브랜드검색PCMO</t>
        </is>
      </c>
      <c r="K760" t="inlineStr">
        <is>
          <t>01.PC브랜드검색</t>
        </is>
      </c>
      <c r="M760" t="n">
        <v>0</v>
      </c>
      <c r="N760" t="n">
        <v>0</v>
      </c>
      <c r="O760" t="n">
        <v>36666.66666666666</v>
      </c>
      <c r="P760" t="n">
        <v>0</v>
      </c>
      <c r="Q760" t="n">
        <v>0</v>
      </c>
      <c r="R760" t="n">
        <v>0</v>
      </c>
      <c r="S760" t="n">
        <v>0</v>
      </c>
      <c r="T760" t="inlineStr">
        <is>
          <t>BSA</t>
        </is>
      </c>
      <c r="U760" t="inlineStr">
        <is>
          <t>BSA</t>
        </is>
      </c>
      <c r="X760" s="16" t="n">
        <v>45310</v>
      </c>
    </row>
    <row r="761">
      <c r="C761" t="inlineStr">
        <is>
          <t>BSA</t>
        </is>
      </c>
      <c r="D761" t="inlineStr">
        <is>
          <t>BSA</t>
        </is>
      </c>
      <c r="E761" t="inlineStr">
        <is>
          <t>당월</t>
        </is>
      </c>
      <c r="F761" s="12" t="inlineStr">
        <is>
          <t>1월 1주차</t>
        </is>
      </c>
      <c r="G761" t="inlineStr">
        <is>
          <t>네이버</t>
        </is>
      </c>
      <c r="H761" s="16" t="n">
        <v>45295</v>
      </c>
      <c r="I761" t="inlineStr">
        <is>
          <t>MO</t>
        </is>
      </c>
      <c r="J761" t="inlineStr">
        <is>
          <t>00.브랜드검색PCMO</t>
        </is>
      </c>
      <c r="K761" t="inlineStr">
        <is>
          <t>01.MO브랜드검색</t>
        </is>
      </c>
      <c r="M761" t="n">
        <v>0</v>
      </c>
      <c r="N761" t="n">
        <v>0</v>
      </c>
      <c r="O761" t="n">
        <v>51333.33333333334</v>
      </c>
      <c r="P761" t="n">
        <v>0</v>
      </c>
      <c r="Q761" t="n">
        <v>0</v>
      </c>
      <c r="R761" t="n">
        <v>0</v>
      </c>
      <c r="S761" t="n">
        <v>0</v>
      </c>
      <c r="T761" t="inlineStr">
        <is>
          <t>BSA</t>
        </is>
      </c>
      <c r="U761" t="inlineStr">
        <is>
          <t>BSA</t>
        </is>
      </c>
      <c r="X761" s="16" t="n">
        <v>45311</v>
      </c>
    </row>
    <row r="762">
      <c r="C762" t="inlineStr">
        <is>
          <t>BSA</t>
        </is>
      </c>
      <c r="D762" t="inlineStr">
        <is>
          <t>BSA</t>
        </is>
      </c>
      <c r="E762" t="inlineStr">
        <is>
          <t>당월</t>
        </is>
      </c>
      <c r="F762" s="12" t="inlineStr">
        <is>
          <t>1월 1주차</t>
        </is>
      </c>
      <c r="G762" t="inlineStr">
        <is>
          <t>네이버</t>
        </is>
      </c>
      <c r="H762" s="16" t="n">
        <v>45296</v>
      </c>
      <c r="I762" t="inlineStr">
        <is>
          <t>PC</t>
        </is>
      </c>
      <c r="J762" t="inlineStr">
        <is>
          <t>00.브랜드검색PCMO</t>
        </is>
      </c>
      <c r="K762" t="inlineStr">
        <is>
          <t>01.PC브랜드검색</t>
        </is>
      </c>
      <c r="M762" t="n">
        <v>0</v>
      </c>
      <c r="N762" t="n">
        <v>0</v>
      </c>
      <c r="O762" t="n">
        <v>36666.66666666666</v>
      </c>
      <c r="P762" t="n">
        <v>0</v>
      </c>
      <c r="Q762" t="n">
        <v>0</v>
      </c>
      <c r="R762" t="n">
        <v>0</v>
      </c>
      <c r="S762" t="n">
        <v>0</v>
      </c>
      <c r="T762" t="inlineStr">
        <is>
          <t>BSA</t>
        </is>
      </c>
      <c r="U762" t="inlineStr">
        <is>
          <t>BSA</t>
        </is>
      </c>
      <c r="X762" s="16" t="n">
        <v>45312</v>
      </c>
    </row>
    <row r="763">
      <c r="C763" t="inlineStr">
        <is>
          <t>BSA</t>
        </is>
      </c>
      <c r="D763" t="inlineStr">
        <is>
          <t>BSA</t>
        </is>
      </c>
      <c r="E763" t="inlineStr">
        <is>
          <t>당월</t>
        </is>
      </c>
      <c r="F763" s="12" t="inlineStr">
        <is>
          <t>1월 1주차</t>
        </is>
      </c>
      <c r="G763" t="inlineStr">
        <is>
          <t>네이버</t>
        </is>
      </c>
      <c r="H763" s="16" t="n">
        <v>45296</v>
      </c>
      <c r="I763" t="inlineStr">
        <is>
          <t>MO</t>
        </is>
      </c>
      <c r="J763" t="inlineStr">
        <is>
          <t>00.브랜드검색PCMO</t>
        </is>
      </c>
      <c r="K763" t="inlineStr">
        <is>
          <t>01.MO브랜드검색</t>
        </is>
      </c>
      <c r="M763" t="n">
        <v>0</v>
      </c>
      <c r="N763" t="n">
        <v>0</v>
      </c>
      <c r="O763" t="n">
        <v>51333.33333333334</v>
      </c>
      <c r="P763" t="n">
        <v>0</v>
      </c>
      <c r="Q763" t="n">
        <v>0</v>
      </c>
      <c r="R763" t="n">
        <v>0</v>
      </c>
      <c r="S763" t="n">
        <v>0</v>
      </c>
      <c r="T763" t="inlineStr">
        <is>
          <t>BSA</t>
        </is>
      </c>
      <c r="U763" t="inlineStr">
        <is>
          <t>BSA</t>
        </is>
      </c>
      <c r="X763" s="16" t="n">
        <v>45313</v>
      </c>
    </row>
    <row r="764">
      <c r="C764" t="inlineStr">
        <is>
          <t>BSA</t>
        </is>
      </c>
      <c r="D764" t="inlineStr">
        <is>
          <t>BSA</t>
        </is>
      </c>
      <c r="E764" t="inlineStr">
        <is>
          <t>당월</t>
        </is>
      </c>
      <c r="F764" s="12" t="inlineStr">
        <is>
          <t>1월 1주차</t>
        </is>
      </c>
      <c r="G764" t="inlineStr">
        <is>
          <t>네이버</t>
        </is>
      </c>
      <c r="H764" s="16" t="n">
        <v>45297</v>
      </c>
      <c r="I764" t="inlineStr">
        <is>
          <t>PC</t>
        </is>
      </c>
      <c r="J764" t="inlineStr">
        <is>
          <t>00.브랜드검색PCMO</t>
        </is>
      </c>
      <c r="K764" t="inlineStr">
        <is>
          <t>01.PC브랜드검색</t>
        </is>
      </c>
      <c r="M764" t="n">
        <v>0</v>
      </c>
      <c r="N764" t="n">
        <v>0</v>
      </c>
      <c r="O764" t="n">
        <v>36666.66666666666</v>
      </c>
      <c r="P764" t="n">
        <v>0</v>
      </c>
      <c r="Q764" t="n">
        <v>0</v>
      </c>
      <c r="R764" t="n">
        <v>0</v>
      </c>
      <c r="S764" t="n">
        <v>0</v>
      </c>
      <c r="T764" t="inlineStr">
        <is>
          <t>BSA</t>
        </is>
      </c>
      <c r="U764" t="inlineStr">
        <is>
          <t>BSA</t>
        </is>
      </c>
      <c r="X764" s="16" t="n">
        <v>45314</v>
      </c>
    </row>
    <row r="765">
      <c r="C765" t="inlineStr">
        <is>
          <t>BSA</t>
        </is>
      </c>
      <c r="D765" t="inlineStr">
        <is>
          <t>BSA</t>
        </is>
      </c>
      <c r="E765" t="inlineStr">
        <is>
          <t>당월</t>
        </is>
      </c>
      <c r="F765" s="12" t="inlineStr">
        <is>
          <t>1월 1주차</t>
        </is>
      </c>
      <c r="G765" t="inlineStr">
        <is>
          <t>네이버</t>
        </is>
      </c>
      <c r="H765" s="16" t="n">
        <v>45297</v>
      </c>
      <c r="I765" t="inlineStr">
        <is>
          <t>MO</t>
        </is>
      </c>
      <c r="J765" t="inlineStr">
        <is>
          <t>00.브랜드검색PCMO</t>
        </is>
      </c>
      <c r="K765" t="inlineStr">
        <is>
          <t>01.MO브랜드검색</t>
        </is>
      </c>
      <c r="M765" t="n">
        <v>0</v>
      </c>
      <c r="N765" t="n">
        <v>0</v>
      </c>
      <c r="O765" t="n">
        <v>51333.33333333334</v>
      </c>
      <c r="P765" t="n">
        <v>0</v>
      </c>
      <c r="Q765" t="n">
        <v>0</v>
      </c>
      <c r="R765" t="n">
        <v>0</v>
      </c>
      <c r="S765" t="n">
        <v>0</v>
      </c>
      <c r="T765" t="inlineStr">
        <is>
          <t>BSA</t>
        </is>
      </c>
      <c r="U765" t="inlineStr">
        <is>
          <t>BSA</t>
        </is>
      </c>
      <c r="X765" s="16" t="n">
        <v>45315</v>
      </c>
    </row>
    <row r="766">
      <c r="C766" t="inlineStr">
        <is>
          <t>BSA</t>
        </is>
      </c>
      <c r="D766" t="inlineStr">
        <is>
          <t>BSA</t>
        </is>
      </c>
      <c r="E766" t="inlineStr">
        <is>
          <t>당월</t>
        </is>
      </c>
      <c r="F766" s="12" t="inlineStr">
        <is>
          <t>1월 1주차</t>
        </is>
      </c>
      <c r="G766" t="inlineStr">
        <is>
          <t>네이버</t>
        </is>
      </c>
      <c r="H766" s="16" t="n">
        <v>45298</v>
      </c>
      <c r="I766" t="inlineStr">
        <is>
          <t>PC</t>
        </is>
      </c>
      <c r="J766" t="inlineStr">
        <is>
          <t>00.브랜드검색PCMO</t>
        </is>
      </c>
      <c r="K766" t="inlineStr">
        <is>
          <t>01.PC브랜드검색</t>
        </is>
      </c>
      <c r="M766" t="n">
        <v>0</v>
      </c>
      <c r="N766" t="n">
        <v>0</v>
      </c>
      <c r="O766" t="n">
        <v>36666.66666666666</v>
      </c>
      <c r="P766" t="n">
        <v>0</v>
      </c>
      <c r="Q766" t="n">
        <v>0</v>
      </c>
      <c r="R766" t="n">
        <v>0</v>
      </c>
      <c r="S766" t="n">
        <v>0</v>
      </c>
      <c r="T766" t="inlineStr">
        <is>
          <t>BSA</t>
        </is>
      </c>
      <c r="U766" t="inlineStr">
        <is>
          <t>BSA</t>
        </is>
      </c>
      <c r="X766" s="16" t="n">
        <v>45316</v>
      </c>
    </row>
    <row r="767">
      <c r="C767" t="inlineStr">
        <is>
          <t>BSA</t>
        </is>
      </c>
      <c r="D767" t="inlineStr">
        <is>
          <t>BSA</t>
        </is>
      </c>
      <c r="E767" t="inlineStr">
        <is>
          <t>당월</t>
        </is>
      </c>
      <c r="F767" s="12" t="inlineStr">
        <is>
          <t>1월 1주차</t>
        </is>
      </c>
      <c r="G767" t="inlineStr">
        <is>
          <t>네이버</t>
        </is>
      </c>
      <c r="H767" s="16" t="n">
        <v>45298</v>
      </c>
      <c r="I767" t="inlineStr">
        <is>
          <t>MO</t>
        </is>
      </c>
      <c r="J767" t="inlineStr">
        <is>
          <t>00.브랜드검색PCMO</t>
        </is>
      </c>
      <c r="K767" t="inlineStr">
        <is>
          <t>01.MO브랜드검색</t>
        </is>
      </c>
      <c r="M767" t="n">
        <v>0</v>
      </c>
      <c r="N767" t="n">
        <v>0</v>
      </c>
      <c r="O767" t="n">
        <v>51333.33333333334</v>
      </c>
      <c r="P767" t="n">
        <v>0</v>
      </c>
      <c r="Q767" t="n">
        <v>0</v>
      </c>
      <c r="R767" t="n">
        <v>0</v>
      </c>
      <c r="S767" t="n">
        <v>0</v>
      </c>
      <c r="T767" t="inlineStr">
        <is>
          <t>BSA</t>
        </is>
      </c>
      <c r="U767" t="inlineStr">
        <is>
          <t>BSA</t>
        </is>
      </c>
      <c r="X767" s="16" t="n">
        <v>45317</v>
      </c>
    </row>
    <row r="768">
      <c r="F768" s="12" t="n"/>
      <c r="H768" s="16" t="n"/>
      <c r="X768" s="16" t="n">
        <v>45318</v>
      </c>
    </row>
    <row r="769">
      <c r="F769" s="12" t="n"/>
      <c r="H769" s="16" t="n"/>
      <c r="X769" s="16" t="n">
        <v>45319</v>
      </c>
    </row>
    <row r="770">
      <c r="H770" s="16" t="n"/>
      <c r="X770" s="16" t="n">
        <v>45320</v>
      </c>
    </row>
    <row r="771">
      <c r="H771" s="16" t="n"/>
      <c r="X771" s="16" t="n">
        <v>45321</v>
      </c>
    </row>
    <row r="772">
      <c r="C772" t="inlineStr">
        <is>
          <t>BSA</t>
        </is>
      </c>
      <c r="D772" t="inlineStr">
        <is>
          <t>BSA</t>
        </is>
      </c>
      <c r="E772" t="inlineStr">
        <is>
          <t>당월</t>
        </is>
      </c>
      <c r="F772" t="inlineStr">
        <is>
          <t>1월 2주차</t>
        </is>
      </c>
      <c r="G772" t="inlineStr">
        <is>
          <t>네이버</t>
        </is>
      </c>
      <c r="H772" s="16" t="n">
        <v>45299</v>
      </c>
      <c r="I772" t="inlineStr">
        <is>
          <t>PC</t>
        </is>
      </c>
      <c r="J772" t="inlineStr">
        <is>
          <t>00.브랜드검색PCMO</t>
        </is>
      </c>
      <c r="K772" t="inlineStr">
        <is>
          <t>01.PC브랜드검색</t>
        </is>
      </c>
      <c r="M772" t="n">
        <v>0</v>
      </c>
      <c r="N772" t="n">
        <v>0</v>
      </c>
      <c r="O772" t="n">
        <v>36666.66666666666</v>
      </c>
      <c r="P772" t="n">
        <v>0</v>
      </c>
      <c r="Q772" t="n">
        <v>0</v>
      </c>
      <c r="R772" t="n">
        <v>0</v>
      </c>
      <c r="S772" t="n">
        <v>0</v>
      </c>
      <c r="T772" t="inlineStr">
        <is>
          <t>BSA</t>
        </is>
      </c>
      <c r="U772" t="inlineStr">
        <is>
          <t>BSA</t>
        </is>
      </c>
      <c r="X772" s="16" t="n">
        <v>45322</v>
      </c>
    </row>
    <row r="773">
      <c r="C773" t="inlineStr">
        <is>
          <t>BSA</t>
        </is>
      </c>
      <c r="D773" t="inlineStr">
        <is>
          <t>BSA</t>
        </is>
      </c>
      <c r="E773" t="inlineStr">
        <is>
          <t>당월</t>
        </is>
      </c>
      <c r="F773" t="inlineStr">
        <is>
          <t>1월 2주차</t>
        </is>
      </c>
      <c r="G773" t="inlineStr">
        <is>
          <t>네이버</t>
        </is>
      </c>
      <c r="H773" s="16" t="n">
        <v>45299</v>
      </c>
      <c r="I773" t="inlineStr">
        <is>
          <t>MO</t>
        </is>
      </c>
      <c r="J773" t="inlineStr">
        <is>
          <t>00.브랜드검색PCMO</t>
        </is>
      </c>
      <c r="K773" t="inlineStr">
        <is>
          <t>01.MO브랜드검색</t>
        </is>
      </c>
      <c r="M773" t="n">
        <v>0</v>
      </c>
      <c r="N773" t="n">
        <v>0</v>
      </c>
      <c r="O773" t="n">
        <v>51333.33333333334</v>
      </c>
      <c r="P773" t="n">
        <v>0</v>
      </c>
      <c r="Q773" t="n">
        <v>0</v>
      </c>
      <c r="R773" t="n">
        <v>0</v>
      </c>
      <c r="S773" t="n">
        <v>0</v>
      </c>
      <c r="T773" t="inlineStr">
        <is>
          <t>BSA</t>
        </is>
      </c>
      <c r="U773" t="inlineStr">
        <is>
          <t>BSA</t>
        </is>
      </c>
      <c r="X773" s="16" t="n">
        <v>45323</v>
      </c>
    </row>
    <row r="774">
      <c r="C774" t="inlineStr">
        <is>
          <t>BSA</t>
        </is>
      </c>
      <c r="D774" t="inlineStr">
        <is>
          <t>BSA</t>
        </is>
      </c>
      <c r="E774" t="inlineStr">
        <is>
          <t>당월</t>
        </is>
      </c>
      <c r="F774" t="inlineStr">
        <is>
          <t>1월 2주차</t>
        </is>
      </c>
      <c r="G774" t="inlineStr">
        <is>
          <t>네이버</t>
        </is>
      </c>
      <c r="H774" s="16" t="n">
        <v>45300</v>
      </c>
      <c r="I774" t="inlineStr">
        <is>
          <t>PC</t>
        </is>
      </c>
      <c r="J774" t="inlineStr">
        <is>
          <t>00.브랜드검색PCMO</t>
        </is>
      </c>
      <c r="K774" t="inlineStr">
        <is>
          <t>01.PC브랜드검색</t>
        </is>
      </c>
      <c r="M774" t="n">
        <v>0</v>
      </c>
      <c r="N774" t="n">
        <v>0</v>
      </c>
      <c r="O774" t="n">
        <v>36666.66666666666</v>
      </c>
      <c r="P774" t="n">
        <v>0</v>
      </c>
      <c r="Q774" t="n">
        <v>0</v>
      </c>
      <c r="R774" t="n">
        <v>0</v>
      </c>
      <c r="S774" t="n">
        <v>0</v>
      </c>
      <c r="T774" t="inlineStr">
        <is>
          <t>BSA</t>
        </is>
      </c>
      <c r="U774" t="inlineStr">
        <is>
          <t>BSA</t>
        </is>
      </c>
      <c r="X774" s="16" t="n">
        <v>45324</v>
      </c>
    </row>
    <row r="775">
      <c r="C775" t="inlineStr">
        <is>
          <t>BSA</t>
        </is>
      </c>
      <c r="D775" t="inlineStr">
        <is>
          <t>BSA</t>
        </is>
      </c>
      <c r="E775" t="inlineStr">
        <is>
          <t>당월</t>
        </is>
      </c>
      <c r="F775" t="inlineStr">
        <is>
          <t>1월 2주차</t>
        </is>
      </c>
      <c r="G775" t="inlineStr">
        <is>
          <t>네이버</t>
        </is>
      </c>
      <c r="H775" s="16" t="n">
        <v>45300</v>
      </c>
      <c r="I775" t="inlineStr">
        <is>
          <t>MO</t>
        </is>
      </c>
      <c r="J775" t="inlineStr">
        <is>
          <t>00.브랜드검색PCMO</t>
        </is>
      </c>
      <c r="K775" t="inlineStr">
        <is>
          <t>01.MO브랜드검색</t>
        </is>
      </c>
      <c r="M775" t="n">
        <v>0</v>
      </c>
      <c r="N775" t="n">
        <v>0</v>
      </c>
      <c r="O775" t="n">
        <v>51333.33333333334</v>
      </c>
      <c r="P775" t="n">
        <v>0</v>
      </c>
      <c r="Q775" t="n">
        <v>0</v>
      </c>
      <c r="R775" t="n">
        <v>0</v>
      </c>
      <c r="S775" t="n">
        <v>0</v>
      </c>
      <c r="T775" t="inlineStr">
        <is>
          <t>BSA</t>
        </is>
      </c>
      <c r="U775" t="inlineStr">
        <is>
          <t>BSA</t>
        </is>
      </c>
      <c r="X775" s="16" t="n">
        <v>45325</v>
      </c>
    </row>
    <row r="776">
      <c r="C776" t="inlineStr">
        <is>
          <t>BSA</t>
        </is>
      </c>
      <c r="D776" t="inlineStr">
        <is>
          <t>BSA</t>
        </is>
      </c>
      <c r="E776" t="inlineStr">
        <is>
          <t>당월</t>
        </is>
      </c>
      <c r="F776" t="inlineStr">
        <is>
          <t>1월 2주차</t>
        </is>
      </c>
      <c r="G776" t="inlineStr">
        <is>
          <t>네이버</t>
        </is>
      </c>
      <c r="H776" s="16" t="n">
        <v>45301</v>
      </c>
      <c r="I776" t="inlineStr">
        <is>
          <t>PC</t>
        </is>
      </c>
      <c r="J776" t="inlineStr">
        <is>
          <t>00.브랜드검색PCMO</t>
        </is>
      </c>
      <c r="K776" t="inlineStr">
        <is>
          <t>01.PC브랜드검색</t>
        </is>
      </c>
      <c r="M776" t="n">
        <v>0</v>
      </c>
      <c r="N776" t="n">
        <v>0</v>
      </c>
      <c r="O776" t="n">
        <v>36666.66666666666</v>
      </c>
      <c r="P776" t="n">
        <v>0</v>
      </c>
      <c r="Q776" t="n">
        <v>0</v>
      </c>
      <c r="R776" t="n">
        <v>0</v>
      </c>
      <c r="S776" t="n">
        <v>0</v>
      </c>
      <c r="T776" t="inlineStr">
        <is>
          <t>BSA</t>
        </is>
      </c>
      <c r="U776" t="inlineStr">
        <is>
          <t>BSA</t>
        </is>
      </c>
      <c r="X776" s="16" t="n">
        <v>45326</v>
      </c>
    </row>
    <row r="777">
      <c r="C777" t="inlineStr">
        <is>
          <t>BSA</t>
        </is>
      </c>
      <c r="D777" t="inlineStr">
        <is>
          <t>BSA</t>
        </is>
      </c>
      <c r="E777" t="inlineStr">
        <is>
          <t>당월</t>
        </is>
      </c>
      <c r="F777" t="inlineStr">
        <is>
          <t>1월 2주차</t>
        </is>
      </c>
      <c r="G777" t="inlineStr">
        <is>
          <t>네이버</t>
        </is>
      </c>
      <c r="H777" s="16" t="n">
        <v>45301</v>
      </c>
      <c r="I777" t="inlineStr">
        <is>
          <t>MO</t>
        </is>
      </c>
      <c r="J777" t="inlineStr">
        <is>
          <t>00.브랜드검색PCMO</t>
        </is>
      </c>
      <c r="K777" t="inlineStr">
        <is>
          <t>01.MO브랜드검색</t>
        </is>
      </c>
      <c r="M777" t="n">
        <v>0</v>
      </c>
      <c r="N777" t="n">
        <v>0</v>
      </c>
      <c r="O777" t="n">
        <v>51333.33333333334</v>
      </c>
      <c r="P777" t="n">
        <v>0</v>
      </c>
      <c r="Q777" t="n">
        <v>0</v>
      </c>
      <c r="R777" t="n">
        <v>0</v>
      </c>
      <c r="S777" t="n">
        <v>0</v>
      </c>
      <c r="T777" t="inlineStr">
        <is>
          <t>BSA</t>
        </is>
      </c>
      <c r="U777" t="inlineStr">
        <is>
          <t>BSA</t>
        </is>
      </c>
    </row>
    <row r="778">
      <c r="C778" t="inlineStr">
        <is>
          <t>BSA</t>
        </is>
      </c>
      <c r="D778" t="inlineStr">
        <is>
          <t>BSA</t>
        </is>
      </c>
      <c r="E778" t="inlineStr">
        <is>
          <t>당월</t>
        </is>
      </c>
      <c r="F778" t="inlineStr">
        <is>
          <t>1월 2주차</t>
        </is>
      </c>
      <c r="G778" t="inlineStr">
        <is>
          <t>네이버</t>
        </is>
      </c>
      <c r="H778" s="16" t="n">
        <v>45302</v>
      </c>
      <c r="I778" t="inlineStr">
        <is>
          <t>PC</t>
        </is>
      </c>
      <c r="J778" t="inlineStr">
        <is>
          <t>00.브랜드검색PCMO</t>
        </is>
      </c>
      <c r="K778" t="inlineStr">
        <is>
          <t>01.PC브랜드검색</t>
        </is>
      </c>
      <c r="M778" t="n">
        <v>0</v>
      </c>
      <c r="N778" t="n">
        <v>0</v>
      </c>
      <c r="O778" t="n">
        <v>36666.66666666666</v>
      </c>
      <c r="P778" t="n">
        <v>0</v>
      </c>
      <c r="Q778" t="n">
        <v>0</v>
      </c>
      <c r="R778" t="n">
        <v>0</v>
      </c>
      <c r="S778" t="n">
        <v>0</v>
      </c>
      <c r="T778" t="inlineStr">
        <is>
          <t>BSA</t>
        </is>
      </c>
      <c r="U778" t="inlineStr">
        <is>
          <t>BSA</t>
        </is>
      </c>
    </row>
    <row r="779">
      <c r="C779" t="inlineStr">
        <is>
          <t>BSA</t>
        </is>
      </c>
      <c r="D779" t="inlineStr">
        <is>
          <t>BSA</t>
        </is>
      </c>
      <c r="E779" t="inlineStr">
        <is>
          <t>당월</t>
        </is>
      </c>
      <c r="F779" t="inlineStr">
        <is>
          <t>1월 2주차</t>
        </is>
      </c>
      <c r="G779" t="inlineStr">
        <is>
          <t>네이버</t>
        </is>
      </c>
      <c r="H779" s="16" t="n">
        <v>45302</v>
      </c>
      <c r="I779" t="inlineStr">
        <is>
          <t>MO</t>
        </is>
      </c>
      <c r="J779" t="inlineStr">
        <is>
          <t>00.브랜드검색PCMO</t>
        </is>
      </c>
      <c r="K779" t="inlineStr">
        <is>
          <t>01.MO브랜드검색</t>
        </is>
      </c>
      <c r="M779" t="n">
        <v>0</v>
      </c>
      <c r="N779" t="n">
        <v>0</v>
      </c>
      <c r="O779" t="n">
        <v>51333.33333333334</v>
      </c>
      <c r="P779" t="n">
        <v>0</v>
      </c>
      <c r="Q779" t="n">
        <v>0</v>
      </c>
      <c r="R779" t="n">
        <v>0</v>
      </c>
      <c r="S779" t="n">
        <v>0</v>
      </c>
      <c r="T779" t="inlineStr">
        <is>
          <t>BSA</t>
        </is>
      </c>
      <c r="U779" t="inlineStr">
        <is>
          <t>BSA</t>
        </is>
      </c>
    </row>
    <row r="780">
      <c r="C780" t="inlineStr">
        <is>
          <t>BSA</t>
        </is>
      </c>
      <c r="D780" t="inlineStr">
        <is>
          <t>BSA</t>
        </is>
      </c>
      <c r="E780" t="inlineStr">
        <is>
          <t>당월</t>
        </is>
      </c>
      <c r="F780" t="inlineStr">
        <is>
          <t>1월 2주차</t>
        </is>
      </c>
      <c r="G780" t="inlineStr">
        <is>
          <t>네이버</t>
        </is>
      </c>
      <c r="H780" s="16" t="n">
        <v>45303</v>
      </c>
      <c r="I780" t="inlineStr">
        <is>
          <t>PC</t>
        </is>
      </c>
      <c r="J780" t="inlineStr">
        <is>
          <t>00.브랜드검색PCMO</t>
        </is>
      </c>
      <c r="K780" t="inlineStr">
        <is>
          <t>01.PC브랜드검색</t>
        </is>
      </c>
      <c r="M780" t="n">
        <v>0</v>
      </c>
      <c r="N780" t="n">
        <v>0</v>
      </c>
      <c r="O780" t="n">
        <v>36666.66666666666</v>
      </c>
      <c r="P780" t="n">
        <v>0</v>
      </c>
      <c r="Q780" t="n">
        <v>0</v>
      </c>
      <c r="R780" t="n">
        <v>0</v>
      </c>
      <c r="S780" t="n">
        <v>0</v>
      </c>
      <c r="T780" t="inlineStr">
        <is>
          <t>BSA</t>
        </is>
      </c>
      <c r="U780" t="inlineStr">
        <is>
          <t>BSA</t>
        </is>
      </c>
    </row>
    <row r="781">
      <c r="C781" t="inlineStr">
        <is>
          <t>BSA</t>
        </is>
      </c>
      <c r="D781" t="inlineStr">
        <is>
          <t>BSA</t>
        </is>
      </c>
      <c r="E781" t="inlineStr">
        <is>
          <t>당월</t>
        </is>
      </c>
      <c r="F781" t="inlineStr">
        <is>
          <t>1월 2주차</t>
        </is>
      </c>
      <c r="G781" t="inlineStr">
        <is>
          <t>네이버</t>
        </is>
      </c>
      <c r="H781" s="16" t="n">
        <v>45303</v>
      </c>
      <c r="I781" t="inlineStr">
        <is>
          <t>MO</t>
        </is>
      </c>
      <c r="J781" t="inlineStr">
        <is>
          <t>00.브랜드검색PCMO</t>
        </is>
      </c>
      <c r="K781" t="inlineStr">
        <is>
          <t>01.MO브랜드검색</t>
        </is>
      </c>
      <c r="M781" t="n">
        <v>0</v>
      </c>
      <c r="N781" t="n">
        <v>0</v>
      </c>
      <c r="O781" t="n">
        <v>51333.33333333334</v>
      </c>
      <c r="P781" t="n">
        <v>0</v>
      </c>
      <c r="Q781" t="n">
        <v>0</v>
      </c>
      <c r="R781" t="n">
        <v>0</v>
      </c>
      <c r="S781" t="n">
        <v>0</v>
      </c>
      <c r="T781" t="inlineStr">
        <is>
          <t>BSA</t>
        </is>
      </c>
      <c r="U781" t="inlineStr">
        <is>
          <t>BSA</t>
        </is>
      </c>
    </row>
    <row r="782">
      <c r="C782" t="inlineStr">
        <is>
          <t>BSA</t>
        </is>
      </c>
      <c r="D782" t="inlineStr">
        <is>
          <t>BSA</t>
        </is>
      </c>
      <c r="E782" t="inlineStr">
        <is>
          <t>당월</t>
        </is>
      </c>
      <c r="F782" t="inlineStr">
        <is>
          <t>1월 2주차</t>
        </is>
      </c>
      <c r="G782" t="inlineStr">
        <is>
          <t>네이버</t>
        </is>
      </c>
      <c r="H782" s="16" t="n">
        <v>45304</v>
      </c>
      <c r="I782" t="inlineStr">
        <is>
          <t>PC</t>
        </is>
      </c>
      <c r="J782" t="inlineStr">
        <is>
          <t>00.브랜드검색PCMO</t>
        </is>
      </c>
      <c r="K782" t="inlineStr">
        <is>
          <t>01.PC브랜드검색</t>
        </is>
      </c>
      <c r="M782" t="n">
        <v>0</v>
      </c>
      <c r="N782" t="n">
        <v>0</v>
      </c>
      <c r="O782" t="n">
        <v>36666.66666666666</v>
      </c>
      <c r="P782" t="n">
        <v>0</v>
      </c>
      <c r="Q782" t="n">
        <v>0</v>
      </c>
      <c r="R782" t="n">
        <v>0</v>
      </c>
      <c r="S782" t="n">
        <v>0</v>
      </c>
      <c r="T782" t="inlineStr">
        <is>
          <t>BSA</t>
        </is>
      </c>
      <c r="U782" t="inlineStr">
        <is>
          <t>BSA</t>
        </is>
      </c>
    </row>
    <row r="783">
      <c r="C783" t="inlineStr">
        <is>
          <t>BSA</t>
        </is>
      </c>
      <c r="D783" t="inlineStr">
        <is>
          <t>BSA</t>
        </is>
      </c>
      <c r="E783" t="inlineStr">
        <is>
          <t>당월</t>
        </is>
      </c>
      <c r="F783" t="inlineStr">
        <is>
          <t>1월 2주차</t>
        </is>
      </c>
      <c r="G783" t="inlineStr">
        <is>
          <t>네이버</t>
        </is>
      </c>
      <c r="H783" s="16" t="n">
        <v>45304</v>
      </c>
      <c r="I783" t="inlineStr">
        <is>
          <t>MO</t>
        </is>
      </c>
      <c r="J783" t="inlineStr">
        <is>
          <t>00.브랜드검색PCMO</t>
        </is>
      </c>
      <c r="K783" t="inlineStr">
        <is>
          <t>01.MO브랜드검색</t>
        </is>
      </c>
      <c r="M783" t="n">
        <v>0</v>
      </c>
      <c r="N783" t="n">
        <v>0</v>
      </c>
      <c r="O783" t="n">
        <v>51333.33333333334</v>
      </c>
      <c r="P783" t="n">
        <v>0</v>
      </c>
      <c r="Q783" t="n">
        <v>0</v>
      </c>
      <c r="R783" t="n">
        <v>0</v>
      </c>
      <c r="S783" t="n">
        <v>0</v>
      </c>
      <c r="T783" t="inlineStr">
        <is>
          <t>BSA</t>
        </is>
      </c>
      <c r="U783" t="inlineStr">
        <is>
          <t>BSA</t>
        </is>
      </c>
    </row>
    <row r="784">
      <c r="C784" t="inlineStr">
        <is>
          <t>BSA</t>
        </is>
      </c>
      <c r="D784" t="inlineStr">
        <is>
          <t>BSA</t>
        </is>
      </c>
      <c r="E784" t="inlineStr">
        <is>
          <t>당월</t>
        </is>
      </c>
      <c r="F784" t="inlineStr">
        <is>
          <t>1월 2주차</t>
        </is>
      </c>
      <c r="G784" t="inlineStr">
        <is>
          <t>네이버</t>
        </is>
      </c>
      <c r="H784" s="16" t="n">
        <v>45305</v>
      </c>
      <c r="I784" t="inlineStr">
        <is>
          <t>PC</t>
        </is>
      </c>
      <c r="J784" t="inlineStr">
        <is>
          <t>00.브랜드검색PCMO</t>
        </is>
      </c>
      <c r="K784" t="inlineStr">
        <is>
          <t>01.PC브랜드검색</t>
        </is>
      </c>
      <c r="M784" t="n">
        <v>0</v>
      </c>
      <c r="N784" t="n">
        <v>0</v>
      </c>
      <c r="O784" t="n">
        <v>36666.66666666666</v>
      </c>
      <c r="P784" t="n">
        <v>0</v>
      </c>
      <c r="Q784" t="n">
        <v>0</v>
      </c>
      <c r="R784" t="n">
        <v>0</v>
      </c>
      <c r="S784" t="n">
        <v>0</v>
      </c>
      <c r="T784" t="inlineStr">
        <is>
          <t>BSA</t>
        </is>
      </c>
      <c r="U784" t="inlineStr">
        <is>
          <t>BSA</t>
        </is>
      </c>
    </row>
    <row r="785">
      <c r="C785" t="inlineStr">
        <is>
          <t>BSA</t>
        </is>
      </c>
      <c r="D785" t="inlineStr">
        <is>
          <t>BSA</t>
        </is>
      </c>
      <c r="E785" t="inlineStr">
        <is>
          <t>당월</t>
        </is>
      </c>
      <c r="F785" t="inlineStr">
        <is>
          <t>1월 2주차</t>
        </is>
      </c>
      <c r="G785" t="inlineStr">
        <is>
          <t>네이버</t>
        </is>
      </c>
      <c r="H785" s="16" t="n">
        <v>45305</v>
      </c>
      <c r="I785" t="inlineStr">
        <is>
          <t>MO</t>
        </is>
      </c>
      <c r="J785" t="inlineStr">
        <is>
          <t>00.브랜드검색PCMO</t>
        </is>
      </c>
      <c r="K785" t="inlineStr">
        <is>
          <t>01.MO브랜드검색</t>
        </is>
      </c>
      <c r="M785" t="n">
        <v>0</v>
      </c>
      <c r="N785" t="n">
        <v>0</v>
      </c>
      <c r="O785" t="n">
        <v>51333.33333333334</v>
      </c>
      <c r="P785" t="n">
        <v>0</v>
      </c>
      <c r="Q785" t="n">
        <v>0</v>
      </c>
      <c r="R785" t="n">
        <v>0</v>
      </c>
      <c r="S785" t="n">
        <v>0</v>
      </c>
      <c r="T785" t="inlineStr">
        <is>
          <t>BSA</t>
        </is>
      </c>
      <c r="U785" t="inlineStr">
        <is>
          <t>BSA</t>
        </is>
      </c>
    </row>
    <row r="786">
      <c r="H786" s="16" t="n"/>
    </row>
    <row r="789">
      <c r="C789" t="inlineStr">
        <is>
          <t>BSA</t>
        </is>
      </c>
      <c r="D789" t="inlineStr">
        <is>
          <t>BSA</t>
        </is>
      </c>
      <c r="E789" t="inlineStr">
        <is>
          <t>당월</t>
        </is>
      </c>
      <c r="F789" t="inlineStr">
        <is>
          <t>1월 3주차</t>
        </is>
      </c>
      <c r="G789" t="inlineStr">
        <is>
          <t>네이버</t>
        </is>
      </c>
      <c r="H789" s="16" t="n">
        <v>45306</v>
      </c>
      <c r="I789" t="inlineStr">
        <is>
          <t>PC</t>
        </is>
      </c>
      <c r="J789" t="inlineStr">
        <is>
          <t>00.브랜드검색PCMO</t>
        </is>
      </c>
      <c r="K789" t="inlineStr">
        <is>
          <t>01.PC브랜드검색</t>
        </is>
      </c>
      <c r="M789" t="n">
        <v>0</v>
      </c>
      <c r="N789" t="n">
        <v>0</v>
      </c>
      <c r="O789" t="n">
        <v>36666.66666666666</v>
      </c>
      <c r="P789" t="n">
        <v>0</v>
      </c>
      <c r="Q789" t="n">
        <v>0</v>
      </c>
      <c r="R789" t="n">
        <v>0</v>
      </c>
      <c r="S789" t="n">
        <v>0</v>
      </c>
      <c r="T789" t="inlineStr">
        <is>
          <t>BSA</t>
        </is>
      </c>
      <c r="U789" t="inlineStr">
        <is>
          <t>BSA</t>
        </is>
      </c>
    </row>
    <row r="790">
      <c r="C790" t="inlineStr">
        <is>
          <t>BSA</t>
        </is>
      </c>
      <c r="D790" t="inlineStr">
        <is>
          <t>BSA</t>
        </is>
      </c>
      <c r="E790" t="inlineStr">
        <is>
          <t>당월</t>
        </is>
      </c>
      <c r="F790" t="inlineStr">
        <is>
          <t>1월 3주차</t>
        </is>
      </c>
      <c r="G790" t="inlineStr">
        <is>
          <t>네이버</t>
        </is>
      </c>
      <c r="H790" s="16" t="n">
        <v>45306</v>
      </c>
      <c r="I790" t="inlineStr">
        <is>
          <t>MO</t>
        </is>
      </c>
      <c r="J790" t="inlineStr">
        <is>
          <t>00.브랜드검색PCMO</t>
        </is>
      </c>
      <c r="K790" t="inlineStr">
        <is>
          <t>01.MO브랜드검색</t>
        </is>
      </c>
      <c r="M790" t="n">
        <v>0</v>
      </c>
      <c r="N790" t="n">
        <v>0</v>
      </c>
      <c r="O790" t="n">
        <v>51333.33333333334</v>
      </c>
      <c r="P790" t="n">
        <v>0</v>
      </c>
      <c r="Q790" t="n">
        <v>0</v>
      </c>
      <c r="R790" t="n">
        <v>0</v>
      </c>
      <c r="S790" t="n">
        <v>0</v>
      </c>
      <c r="T790" t="inlineStr">
        <is>
          <t>BSA</t>
        </is>
      </c>
      <c r="U790" t="inlineStr">
        <is>
          <t>BSA</t>
        </is>
      </c>
    </row>
    <row r="791">
      <c r="C791" t="inlineStr">
        <is>
          <t>BSA</t>
        </is>
      </c>
      <c r="D791" t="inlineStr">
        <is>
          <t>BSA</t>
        </is>
      </c>
      <c r="E791" t="inlineStr">
        <is>
          <t>당월</t>
        </is>
      </c>
      <c r="F791" t="inlineStr">
        <is>
          <t>1월 3주차</t>
        </is>
      </c>
      <c r="G791" t="inlineStr">
        <is>
          <t>네이버</t>
        </is>
      </c>
      <c r="H791" s="16" t="n">
        <v>45307</v>
      </c>
      <c r="I791" t="inlineStr">
        <is>
          <t>PC</t>
        </is>
      </c>
      <c r="J791" t="inlineStr">
        <is>
          <t>00.브랜드검색PCMO</t>
        </is>
      </c>
      <c r="K791" t="inlineStr">
        <is>
          <t>01.PC브랜드검색</t>
        </is>
      </c>
      <c r="M791" t="n">
        <v>0</v>
      </c>
      <c r="N791" t="n">
        <v>0</v>
      </c>
      <c r="O791" t="n">
        <v>36666.66666666666</v>
      </c>
      <c r="P791" t="n">
        <v>0</v>
      </c>
      <c r="Q791" t="n">
        <v>0</v>
      </c>
      <c r="R791" t="n">
        <v>0</v>
      </c>
      <c r="S791" t="n">
        <v>0</v>
      </c>
      <c r="T791" t="inlineStr">
        <is>
          <t>BSA</t>
        </is>
      </c>
      <c r="U791" t="inlineStr">
        <is>
          <t>BSA</t>
        </is>
      </c>
    </row>
    <row r="792">
      <c r="C792" t="inlineStr">
        <is>
          <t>BSA</t>
        </is>
      </c>
      <c r="D792" t="inlineStr">
        <is>
          <t>BSA</t>
        </is>
      </c>
      <c r="E792" t="inlineStr">
        <is>
          <t>당월</t>
        </is>
      </c>
      <c r="F792" t="inlineStr">
        <is>
          <t>1월 3주차</t>
        </is>
      </c>
      <c r="G792" t="inlineStr">
        <is>
          <t>네이버</t>
        </is>
      </c>
      <c r="H792" s="16" t="n">
        <v>45307</v>
      </c>
      <c r="I792" t="inlineStr">
        <is>
          <t>MO</t>
        </is>
      </c>
      <c r="J792" t="inlineStr">
        <is>
          <t>00.브랜드검색PCMO</t>
        </is>
      </c>
      <c r="K792" t="inlineStr">
        <is>
          <t>01.MO브랜드검색</t>
        </is>
      </c>
      <c r="M792" t="n">
        <v>0</v>
      </c>
      <c r="N792" t="n">
        <v>0</v>
      </c>
      <c r="O792" t="n">
        <v>51333.33333333334</v>
      </c>
      <c r="P792" t="n">
        <v>0</v>
      </c>
      <c r="Q792" t="n">
        <v>0</v>
      </c>
      <c r="R792" t="n">
        <v>0</v>
      </c>
      <c r="S792" t="n">
        <v>0</v>
      </c>
      <c r="T792" t="inlineStr">
        <is>
          <t>BSA</t>
        </is>
      </c>
      <c r="U792" t="inlineStr">
        <is>
          <t>BSA</t>
        </is>
      </c>
    </row>
    <row r="793">
      <c r="C793" t="inlineStr">
        <is>
          <t>BSA</t>
        </is>
      </c>
      <c r="D793" t="inlineStr">
        <is>
          <t>BSA</t>
        </is>
      </c>
      <c r="E793" t="inlineStr">
        <is>
          <t>당월</t>
        </is>
      </c>
      <c r="F793" t="inlineStr">
        <is>
          <t>1월 3주차</t>
        </is>
      </c>
      <c r="G793" t="inlineStr">
        <is>
          <t>네이버</t>
        </is>
      </c>
      <c r="H793" s="16" t="n">
        <v>45308</v>
      </c>
      <c r="I793" t="inlineStr">
        <is>
          <t>PC</t>
        </is>
      </c>
      <c r="J793" t="inlineStr">
        <is>
          <t>00.브랜드검색PCMO</t>
        </is>
      </c>
      <c r="K793" t="inlineStr">
        <is>
          <t>01.PC브랜드검색</t>
        </is>
      </c>
      <c r="M793" t="n">
        <v>0</v>
      </c>
      <c r="N793" t="n">
        <v>0</v>
      </c>
      <c r="O793" t="n">
        <v>36666.66666666666</v>
      </c>
      <c r="P793" t="n">
        <v>0</v>
      </c>
      <c r="Q793" t="n">
        <v>0</v>
      </c>
      <c r="R793" t="n">
        <v>0</v>
      </c>
      <c r="S793" t="n">
        <v>0</v>
      </c>
      <c r="T793" t="inlineStr">
        <is>
          <t>BSA</t>
        </is>
      </c>
      <c r="U793" t="inlineStr">
        <is>
          <t>BSA</t>
        </is>
      </c>
    </row>
    <row r="794">
      <c r="C794" t="inlineStr">
        <is>
          <t>BSA</t>
        </is>
      </c>
      <c r="D794" t="inlineStr">
        <is>
          <t>BSA</t>
        </is>
      </c>
      <c r="E794" t="inlineStr">
        <is>
          <t>당월</t>
        </is>
      </c>
      <c r="F794" t="inlineStr">
        <is>
          <t>1월 3주차</t>
        </is>
      </c>
      <c r="G794" t="inlineStr">
        <is>
          <t>네이버</t>
        </is>
      </c>
      <c r="H794" s="16" t="n">
        <v>45308</v>
      </c>
      <c r="I794" t="inlineStr">
        <is>
          <t>MO</t>
        </is>
      </c>
      <c r="J794" t="inlineStr">
        <is>
          <t>00.브랜드검색PCMO</t>
        </is>
      </c>
      <c r="K794" t="inlineStr">
        <is>
          <t>01.MO브랜드검색</t>
        </is>
      </c>
      <c r="M794" t="n">
        <v>0</v>
      </c>
      <c r="N794" t="n">
        <v>0</v>
      </c>
      <c r="O794" t="n">
        <v>51333.33333333334</v>
      </c>
      <c r="P794" t="n">
        <v>0</v>
      </c>
      <c r="Q794" t="n">
        <v>0</v>
      </c>
      <c r="R794" t="n">
        <v>0</v>
      </c>
      <c r="S794" t="n">
        <v>0</v>
      </c>
      <c r="T794" t="inlineStr">
        <is>
          <t>BSA</t>
        </is>
      </c>
      <c r="U794" t="inlineStr">
        <is>
          <t>BSA</t>
        </is>
      </c>
    </row>
    <row r="795">
      <c r="C795" t="inlineStr">
        <is>
          <t>BSA</t>
        </is>
      </c>
      <c r="D795" t="inlineStr">
        <is>
          <t>BSA</t>
        </is>
      </c>
      <c r="E795" t="inlineStr">
        <is>
          <t>당월</t>
        </is>
      </c>
      <c r="F795" t="inlineStr">
        <is>
          <t>1월 3주차</t>
        </is>
      </c>
      <c r="G795" t="inlineStr">
        <is>
          <t>네이버</t>
        </is>
      </c>
      <c r="H795" s="16" t="n">
        <v>45309</v>
      </c>
      <c r="I795" t="inlineStr">
        <is>
          <t>PC</t>
        </is>
      </c>
      <c r="J795" t="inlineStr">
        <is>
          <t>00.브랜드검색PCMO</t>
        </is>
      </c>
      <c r="K795" t="inlineStr">
        <is>
          <t>01.PC브랜드검색</t>
        </is>
      </c>
      <c r="M795" t="n">
        <v>0</v>
      </c>
      <c r="N795" t="n">
        <v>0</v>
      </c>
      <c r="O795" t="n">
        <v>36666.66666666666</v>
      </c>
      <c r="P795" t="n">
        <v>0</v>
      </c>
      <c r="Q795" t="n">
        <v>0</v>
      </c>
      <c r="R795" t="n">
        <v>0</v>
      </c>
      <c r="S795" t="n">
        <v>0</v>
      </c>
      <c r="T795" t="inlineStr">
        <is>
          <t>BSA</t>
        </is>
      </c>
      <c r="U795" t="inlineStr">
        <is>
          <t>BSA</t>
        </is>
      </c>
    </row>
    <row r="796">
      <c r="C796" t="inlineStr">
        <is>
          <t>BSA</t>
        </is>
      </c>
      <c r="D796" t="inlineStr">
        <is>
          <t>BSA</t>
        </is>
      </c>
      <c r="E796" t="inlineStr">
        <is>
          <t>당월</t>
        </is>
      </c>
      <c r="F796" t="inlineStr">
        <is>
          <t>1월 3주차</t>
        </is>
      </c>
      <c r="G796" t="inlineStr">
        <is>
          <t>네이버</t>
        </is>
      </c>
      <c r="H796" s="16" t="n">
        <v>45309</v>
      </c>
      <c r="I796" t="inlineStr">
        <is>
          <t>MO</t>
        </is>
      </c>
      <c r="J796" t="inlineStr">
        <is>
          <t>00.브랜드검색PCMO</t>
        </is>
      </c>
      <c r="K796" t="inlineStr">
        <is>
          <t>01.MO브랜드검색</t>
        </is>
      </c>
      <c r="M796" t="n">
        <v>0</v>
      </c>
      <c r="N796" t="n">
        <v>0</v>
      </c>
      <c r="O796" t="n">
        <v>51333.33333333334</v>
      </c>
      <c r="P796" t="n">
        <v>0</v>
      </c>
      <c r="Q796" t="n">
        <v>0</v>
      </c>
      <c r="R796" t="n">
        <v>0</v>
      </c>
      <c r="S796" t="n">
        <v>0</v>
      </c>
      <c r="T796" t="inlineStr">
        <is>
          <t>BSA</t>
        </is>
      </c>
      <c r="U796" t="inlineStr">
        <is>
          <t>BSA</t>
        </is>
      </c>
    </row>
    <row r="797">
      <c r="C797" t="inlineStr">
        <is>
          <t>BSA</t>
        </is>
      </c>
      <c r="D797" t="inlineStr">
        <is>
          <t>BSA</t>
        </is>
      </c>
      <c r="E797" t="inlineStr">
        <is>
          <t>당월</t>
        </is>
      </c>
      <c r="F797" t="inlineStr">
        <is>
          <t>1월 3주차</t>
        </is>
      </c>
      <c r="G797" t="inlineStr">
        <is>
          <t>네이버</t>
        </is>
      </c>
      <c r="H797" s="16" t="n">
        <v>45310</v>
      </c>
      <c r="I797" t="inlineStr">
        <is>
          <t>PC</t>
        </is>
      </c>
      <c r="J797" t="inlineStr">
        <is>
          <t>00.브랜드검색PCMO</t>
        </is>
      </c>
      <c r="K797" t="inlineStr">
        <is>
          <t>01.PC브랜드검색</t>
        </is>
      </c>
      <c r="M797" t="n">
        <v>0</v>
      </c>
      <c r="N797" t="n">
        <v>0</v>
      </c>
      <c r="O797" t="n">
        <v>36666.66666666666</v>
      </c>
      <c r="P797" t="n">
        <v>0</v>
      </c>
      <c r="Q797" t="n">
        <v>0</v>
      </c>
      <c r="R797" t="n">
        <v>0</v>
      </c>
      <c r="S797" t="n">
        <v>0</v>
      </c>
      <c r="T797" t="inlineStr">
        <is>
          <t>BSA</t>
        </is>
      </c>
      <c r="U797" t="inlineStr">
        <is>
          <t>BSA</t>
        </is>
      </c>
      <c r="X797" s="16" t="n">
        <v>45313</v>
      </c>
    </row>
    <row r="798">
      <c r="C798" t="inlineStr">
        <is>
          <t>BSA</t>
        </is>
      </c>
      <c r="D798" t="inlineStr">
        <is>
          <t>BSA</t>
        </is>
      </c>
      <c r="E798" t="inlineStr">
        <is>
          <t>당월</t>
        </is>
      </c>
      <c r="F798" t="inlineStr">
        <is>
          <t>1월 3주차</t>
        </is>
      </c>
      <c r="G798" t="inlineStr">
        <is>
          <t>네이버</t>
        </is>
      </c>
      <c r="H798" s="16" t="n">
        <v>45310</v>
      </c>
      <c r="I798" t="inlineStr">
        <is>
          <t>MO</t>
        </is>
      </c>
      <c r="J798" t="inlineStr">
        <is>
          <t>00.브랜드검색PCMO</t>
        </is>
      </c>
      <c r="K798" t="inlineStr">
        <is>
          <t>01.MO브랜드검색</t>
        </is>
      </c>
      <c r="M798" t="n">
        <v>0</v>
      </c>
      <c r="N798" t="n">
        <v>0</v>
      </c>
      <c r="O798" t="n">
        <v>51333.33333333334</v>
      </c>
      <c r="P798" t="n">
        <v>0</v>
      </c>
      <c r="Q798" t="n">
        <v>0</v>
      </c>
      <c r="R798" t="n">
        <v>0</v>
      </c>
      <c r="S798" t="n">
        <v>0</v>
      </c>
      <c r="T798" t="inlineStr">
        <is>
          <t>BSA</t>
        </is>
      </c>
      <c r="U798" t="inlineStr">
        <is>
          <t>BSA</t>
        </is>
      </c>
      <c r="X798" s="16" t="n">
        <v>45314</v>
      </c>
    </row>
    <row r="799">
      <c r="C799" t="inlineStr">
        <is>
          <t>BSA</t>
        </is>
      </c>
      <c r="D799" t="inlineStr">
        <is>
          <t>BSA</t>
        </is>
      </c>
      <c r="E799" t="inlineStr">
        <is>
          <t>당월</t>
        </is>
      </c>
      <c r="F799" t="inlineStr">
        <is>
          <t>1월 3주차</t>
        </is>
      </c>
      <c r="G799" t="inlineStr">
        <is>
          <t>네이버</t>
        </is>
      </c>
      <c r="H799" s="16" t="n">
        <v>45311</v>
      </c>
      <c r="I799" t="inlineStr">
        <is>
          <t>PC</t>
        </is>
      </c>
      <c r="J799" t="inlineStr">
        <is>
          <t>00.브랜드검색PCMO</t>
        </is>
      </c>
      <c r="K799" t="inlineStr">
        <is>
          <t>01.PC브랜드검색</t>
        </is>
      </c>
      <c r="M799" t="n">
        <v>0</v>
      </c>
      <c r="N799" t="n">
        <v>0</v>
      </c>
      <c r="O799" t="n">
        <v>36666.66666666666</v>
      </c>
      <c r="P799" t="n">
        <v>0</v>
      </c>
      <c r="Q799" t="n">
        <v>0</v>
      </c>
      <c r="R799" t="n">
        <v>0</v>
      </c>
      <c r="S799" t="n">
        <v>0</v>
      </c>
      <c r="T799" t="inlineStr">
        <is>
          <t>BSA</t>
        </is>
      </c>
      <c r="U799" t="inlineStr">
        <is>
          <t>BSA</t>
        </is>
      </c>
      <c r="X799" s="16" t="n">
        <v>45315</v>
      </c>
    </row>
    <row r="800">
      <c r="C800" t="inlineStr">
        <is>
          <t>BSA</t>
        </is>
      </c>
      <c r="D800" t="inlineStr">
        <is>
          <t>BSA</t>
        </is>
      </c>
      <c r="E800" t="inlineStr">
        <is>
          <t>당월</t>
        </is>
      </c>
      <c r="F800" t="inlineStr">
        <is>
          <t>1월 3주차</t>
        </is>
      </c>
      <c r="G800" t="inlineStr">
        <is>
          <t>네이버</t>
        </is>
      </c>
      <c r="H800" s="16" t="n">
        <v>45311</v>
      </c>
      <c r="I800" t="inlineStr">
        <is>
          <t>MO</t>
        </is>
      </c>
      <c r="J800" t="inlineStr">
        <is>
          <t>00.브랜드검색PCMO</t>
        </is>
      </c>
      <c r="K800" t="inlineStr">
        <is>
          <t>01.MO브랜드검색</t>
        </is>
      </c>
      <c r="M800" t="n">
        <v>0</v>
      </c>
      <c r="N800" t="n">
        <v>0</v>
      </c>
      <c r="O800" t="n">
        <v>51333.33333333334</v>
      </c>
      <c r="P800" t="n">
        <v>0</v>
      </c>
      <c r="Q800" t="n">
        <v>0</v>
      </c>
      <c r="R800" t="n">
        <v>0</v>
      </c>
      <c r="S800" t="n">
        <v>0</v>
      </c>
      <c r="T800" t="inlineStr">
        <is>
          <t>BSA</t>
        </is>
      </c>
      <c r="U800" t="inlineStr">
        <is>
          <t>BSA</t>
        </is>
      </c>
      <c r="X800" s="16" t="n">
        <v>45316</v>
      </c>
    </row>
    <row r="801">
      <c r="C801" t="inlineStr">
        <is>
          <t>BSA</t>
        </is>
      </c>
      <c r="D801" t="inlineStr">
        <is>
          <t>BSA</t>
        </is>
      </c>
      <c r="E801" t="inlineStr">
        <is>
          <t>당월</t>
        </is>
      </c>
      <c r="F801" t="inlineStr">
        <is>
          <t>1월 3주차</t>
        </is>
      </c>
      <c r="G801" t="inlineStr">
        <is>
          <t>네이버</t>
        </is>
      </c>
      <c r="H801" s="16" t="n">
        <v>45312</v>
      </c>
      <c r="I801" t="inlineStr">
        <is>
          <t>PC</t>
        </is>
      </c>
      <c r="J801" t="inlineStr">
        <is>
          <t>00.브랜드검색PCMO</t>
        </is>
      </c>
      <c r="K801" t="inlineStr">
        <is>
          <t>01.PC브랜드검색</t>
        </is>
      </c>
      <c r="M801" t="n">
        <v>0</v>
      </c>
      <c r="N801" t="n">
        <v>0</v>
      </c>
      <c r="O801" t="n">
        <v>36666.66666666666</v>
      </c>
      <c r="P801" t="n">
        <v>0</v>
      </c>
      <c r="Q801" t="n">
        <v>0</v>
      </c>
      <c r="R801" t="n">
        <v>0</v>
      </c>
      <c r="S801" t="n">
        <v>0</v>
      </c>
      <c r="T801" t="inlineStr">
        <is>
          <t>BSA</t>
        </is>
      </c>
      <c r="U801" t="inlineStr">
        <is>
          <t>BSA</t>
        </is>
      </c>
      <c r="X801" s="16" t="n">
        <v>45317</v>
      </c>
    </row>
    <row r="802">
      <c r="C802" t="inlineStr">
        <is>
          <t>BSA</t>
        </is>
      </c>
      <c r="D802" t="inlineStr">
        <is>
          <t>BSA</t>
        </is>
      </c>
      <c r="E802" t="inlineStr">
        <is>
          <t>당월</t>
        </is>
      </c>
      <c r="F802" t="inlineStr">
        <is>
          <t>1월 3주차</t>
        </is>
      </c>
      <c r="G802" t="inlineStr">
        <is>
          <t>네이버</t>
        </is>
      </c>
      <c r="H802" s="16" t="n">
        <v>45312</v>
      </c>
      <c r="I802" t="inlineStr">
        <is>
          <t>MO</t>
        </is>
      </c>
      <c r="J802" t="inlineStr">
        <is>
          <t>00.브랜드검색PCMO</t>
        </is>
      </c>
      <c r="K802" t="inlineStr">
        <is>
          <t>01.MO브랜드검색</t>
        </is>
      </c>
      <c r="M802" t="n">
        <v>0</v>
      </c>
      <c r="N802" t="n">
        <v>0</v>
      </c>
      <c r="O802" t="n">
        <v>51333.33333333334</v>
      </c>
      <c r="P802" t="n">
        <v>0</v>
      </c>
      <c r="Q802" t="n">
        <v>0</v>
      </c>
      <c r="R802" t="n">
        <v>0</v>
      </c>
      <c r="S802" t="n">
        <v>0</v>
      </c>
      <c r="T802" t="inlineStr">
        <is>
          <t>BSA</t>
        </is>
      </c>
      <c r="U802" t="inlineStr">
        <is>
          <t>BSA</t>
        </is>
      </c>
      <c r="X802" s="16" t="n">
        <v>45318</v>
      </c>
    </row>
    <row r="803">
      <c r="X803" s="16" t="n">
        <v>45319</v>
      </c>
    </row>
    <row r="804">
      <c r="X804" s="16" t="n">
        <v>45320</v>
      </c>
    </row>
    <row r="805">
      <c r="X805" s="16" t="n">
        <v>45321</v>
      </c>
    </row>
    <row r="806">
      <c r="C806" t="inlineStr">
        <is>
          <t>BSA</t>
        </is>
      </c>
      <c r="D806" t="inlineStr">
        <is>
          <t>BSA</t>
        </is>
      </c>
      <c r="E806" t="inlineStr">
        <is>
          <t>당월</t>
        </is>
      </c>
      <c r="F806" t="inlineStr">
        <is>
          <t>1월 4주차</t>
        </is>
      </c>
      <c r="G806" t="inlineStr">
        <is>
          <t>네이버</t>
        </is>
      </c>
      <c r="H806" s="16" t="n">
        <v>45313</v>
      </c>
      <c r="I806" t="inlineStr">
        <is>
          <t>PC</t>
        </is>
      </c>
      <c r="J806" t="inlineStr">
        <is>
          <t>00.브랜드검색PCMO</t>
        </is>
      </c>
      <c r="K806" t="inlineStr">
        <is>
          <t>01.PC브랜드검색</t>
        </is>
      </c>
      <c r="M806" t="n">
        <v>0</v>
      </c>
      <c r="N806" t="n">
        <v>0</v>
      </c>
      <c r="O806" t="n">
        <v>36666.66666666666</v>
      </c>
      <c r="P806" t="n">
        <v>0</v>
      </c>
      <c r="Q806" t="n">
        <v>0</v>
      </c>
      <c r="R806" t="n">
        <v>0</v>
      </c>
      <c r="S806" t="n">
        <v>0</v>
      </c>
      <c r="T806" t="inlineStr">
        <is>
          <t>BSA</t>
        </is>
      </c>
      <c r="U806" t="inlineStr">
        <is>
          <t>BSA</t>
        </is>
      </c>
      <c r="X806" s="16" t="n">
        <v>45322</v>
      </c>
    </row>
    <row r="807">
      <c r="C807" t="inlineStr">
        <is>
          <t>BSA</t>
        </is>
      </c>
      <c r="D807" t="inlineStr">
        <is>
          <t>BSA</t>
        </is>
      </c>
      <c r="E807" t="inlineStr">
        <is>
          <t>당월</t>
        </is>
      </c>
      <c r="F807" t="inlineStr">
        <is>
          <t>1월 4주차</t>
        </is>
      </c>
      <c r="G807" t="inlineStr">
        <is>
          <t>네이버</t>
        </is>
      </c>
      <c r="H807" s="16" t="n">
        <v>45313</v>
      </c>
      <c r="I807" t="inlineStr">
        <is>
          <t>MO</t>
        </is>
      </c>
      <c r="J807" t="inlineStr">
        <is>
          <t>00.브랜드검색PCMO</t>
        </is>
      </c>
      <c r="K807" t="inlineStr">
        <is>
          <t>01.MO브랜드검색</t>
        </is>
      </c>
      <c r="M807" t="n">
        <v>0</v>
      </c>
      <c r="N807" t="n">
        <v>0</v>
      </c>
      <c r="O807" t="n">
        <v>51333.33333333334</v>
      </c>
      <c r="P807" t="n">
        <v>0</v>
      </c>
      <c r="Q807" t="n">
        <v>0</v>
      </c>
      <c r="R807" t="n">
        <v>0</v>
      </c>
      <c r="S807" t="n">
        <v>0</v>
      </c>
      <c r="T807" t="inlineStr">
        <is>
          <t>BSA</t>
        </is>
      </c>
      <c r="U807" t="inlineStr">
        <is>
          <t>BSA</t>
        </is>
      </c>
      <c r="X807" s="16" t="n">
        <v>45323</v>
      </c>
    </row>
    <row r="808">
      <c r="C808" t="inlineStr">
        <is>
          <t>BSA</t>
        </is>
      </c>
      <c r="D808" t="inlineStr">
        <is>
          <t>BSA</t>
        </is>
      </c>
      <c r="E808" t="inlineStr">
        <is>
          <t>당월</t>
        </is>
      </c>
      <c r="F808" t="inlineStr">
        <is>
          <t>1월 4주차</t>
        </is>
      </c>
      <c r="G808" t="inlineStr">
        <is>
          <t>네이버</t>
        </is>
      </c>
      <c r="H808" s="16" t="n">
        <v>45314</v>
      </c>
      <c r="I808" t="inlineStr">
        <is>
          <t>PC</t>
        </is>
      </c>
      <c r="J808" t="inlineStr">
        <is>
          <t>00.브랜드검색PCMO</t>
        </is>
      </c>
      <c r="K808" t="inlineStr">
        <is>
          <t>01.PC브랜드검색</t>
        </is>
      </c>
      <c r="M808" t="n">
        <v>0</v>
      </c>
      <c r="N808" t="n">
        <v>0</v>
      </c>
      <c r="O808" t="n">
        <v>36666.66666666666</v>
      </c>
      <c r="P808" t="n">
        <v>0</v>
      </c>
      <c r="Q808" t="n">
        <v>0</v>
      </c>
      <c r="R808" t="n">
        <v>0</v>
      </c>
      <c r="S808" t="n">
        <v>0</v>
      </c>
      <c r="T808" t="inlineStr">
        <is>
          <t>BSA</t>
        </is>
      </c>
      <c r="U808" t="inlineStr">
        <is>
          <t>BSA</t>
        </is>
      </c>
      <c r="X808" s="16" t="n">
        <v>45324</v>
      </c>
    </row>
    <row r="809">
      <c r="C809" t="inlineStr">
        <is>
          <t>BSA</t>
        </is>
      </c>
      <c r="D809" t="inlineStr">
        <is>
          <t>BSA</t>
        </is>
      </c>
      <c r="E809" t="inlineStr">
        <is>
          <t>당월</t>
        </is>
      </c>
      <c r="F809" t="inlineStr">
        <is>
          <t>1월 4주차</t>
        </is>
      </c>
      <c r="G809" t="inlineStr">
        <is>
          <t>네이버</t>
        </is>
      </c>
      <c r="H809" s="16" t="n">
        <v>45314</v>
      </c>
      <c r="I809" t="inlineStr">
        <is>
          <t>MO</t>
        </is>
      </c>
      <c r="J809" t="inlineStr">
        <is>
          <t>00.브랜드검색PCMO</t>
        </is>
      </c>
      <c r="K809" t="inlineStr">
        <is>
          <t>01.MO브랜드검색</t>
        </is>
      </c>
      <c r="M809" t="n">
        <v>0</v>
      </c>
      <c r="N809" t="n">
        <v>0</v>
      </c>
      <c r="O809" t="n">
        <v>51333.33333333334</v>
      </c>
      <c r="P809" t="n">
        <v>0</v>
      </c>
      <c r="Q809" t="n">
        <v>0</v>
      </c>
      <c r="R809" t="n">
        <v>0</v>
      </c>
      <c r="S809" t="n">
        <v>0</v>
      </c>
      <c r="T809" t="inlineStr">
        <is>
          <t>BSA</t>
        </is>
      </c>
      <c r="U809" t="inlineStr">
        <is>
          <t>BSA</t>
        </is>
      </c>
      <c r="X809" s="16" t="n">
        <v>45325</v>
      </c>
    </row>
    <row r="810">
      <c r="C810" t="inlineStr">
        <is>
          <t>BSA</t>
        </is>
      </c>
      <c r="D810" t="inlineStr">
        <is>
          <t>BSA</t>
        </is>
      </c>
      <c r="E810" t="inlineStr">
        <is>
          <t>당월</t>
        </is>
      </c>
      <c r="F810" t="inlineStr">
        <is>
          <t>1월 4주차</t>
        </is>
      </c>
      <c r="G810" t="inlineStr">
        <is>
          <t>네이버</t>
        </is>
      </c>
      <c r="H810" s="16" t="n">
        <v>45315</v>
      </c>
      <c r="I810" t="inlineStr">
        <is>
          <t>PC</t>
        </is>
      </c>
      <c r="J810" t="inlineStr">
        <is>
          <t>00.브랜드검색PCMO</t>
        </is>
      </c>
      <c r="K810" t="inlineStr">
        <is>
          <t>01.PC브랜드검색</t>
        </is>
      </c>
      <c r="M810" t="n">
        <v>0</v>
      </c>
      <c r="N810" t="n">
        <v>0</v>
      </c>
      <c r="O810" t="n">
        <v>36666.66666666666</v>
      </c>
      <c r="P810" t="n">
        <v>0</v>
      </c>
      <c r="Q810" t="n">
        <v>0</v>
      </c>
      <c r="R810" t="n">
        <v>0</v>
      </c>
      <c r="S810" t="n">
        <v>0</v>
      </c>
      <c r="T810" t="inlineStr">
        <is>
          <t>BSA</t>
        </is>
      </c>
      <c r="U810" t="inlineStr">
        <is>
          <t>BSA</t>
        </is>
      </c>
      <c r="X810" s="16" t="n">
        <v>45326</v>
      </c>
    </row>
    <row r="811">
      <c r="C811" t="inlineStr">
        <is>
          <t>BSA</t>
        </is>
      </c>
      <c r="D811" t="inlineStr">
        <is>
          <t>BSA</t>
        </is>
      </c>
      <c r="E811" t="inlineStr">
        <is>
          <t>당월</t>
        </is>
      </c>
      <c r="F811" t="inlineStr">
        <is>
          <t>1월 4주차</t>
        </is>
      </c>
      <c r="G811" t="inlineStr">
        <is>
          <t>네이버</t>
        </is>
      </c>
      <c r="H811" s="16" t="n">
        <v>45315</v>
      </c>
      <c r="I811" t="inlineStr">
        <is>
          <t>MO</t>
        </is>
      </c>
      <c r="J811" t="inlineStr">
        <is>
          <t>00.브랜드검색PCMO</t>
        </is>
      </c>
      <c r="K811" t="inlineStr">
        <is>
          <t>01.MO브랜드검색</t>
        </is>
      </c>
      <c r="M811" t="n">
        <v>0</v>
      </c>
      <c r="N811" t="n">
        <v>0</v>
      </c>
      <c r="O811" t="n">
        <v>51333.33333333334</v>
      </c>
      <c r="P811" t="n">
        <v>0</v>
      </c>
      <c r="Q811" t="n">
        <v>0</v>
      </c>
      <c r="R811" t="n">
        <v>0</v>
      </c>
      <c r="S811" t="n">
        <v>0</v>
      </c>
      <c r="T811" t="inlineStr">
        <is>
          <t>BSA</t>
        </is>
      </c>
      <c r="U811" t="inlineStr">
        <is>
          <t>BSA</t>
        </is>
      </c>
      <c r="X811" s="16" t="n">
        <v>45327</v>
      </c>
    </row>
    <row r="812">
      <c r="C812" t="inlineStr">
        <is>
          <t>BSA</t>
        </is>
      </c>
      <c r="D812" t="inlineStr">
        <is>
          <t>BSA</t>
        </is>
      </c>
      <c r="E812" t="inlineStr">
        <is>
          <t>당월</t>
        </is>
      </c>
      <c r="F812" t="inlineStr">
        <is>
          <t>1월 4주차</t>
        </is>
      </c>
      <c r="G812" t="inlineStr">
        <is>
          <t>네이버</t>
        </is>
      </c>
      <c r="H812" s="16" t="n">
        <v>45316</v>
      </c>
      <c r="I812" t="inlineStr">
        <is>
          <t>PC</t>
        </is>
      </c>
      <c r="J812" t="inlineStr">
        <is>
          <t>00.브랜드검색PCMO</t>
        </is>
      </c>
      <c r="K812" t="inlineStr">
        <is>
          <t>01.PC브랜드검색</t>
        </is>
      </c>
      <c r="M812" t="n">
        <v>0</v>
      </c>
      <c r="N812" t="n">
        <v>0</v>
      </c>
      <c r="O812" t="n">
        <v>36666.66666666666</v>
      </c>
      <c r="P812" t="n">
        <v>0</v>
      </c>
      <c r="Q812" t="n">
        <v>0</v>
      </c>
      <c r="R812" t="n">
        <v>0</v>
      </c>
      <c r="S812" t="n">
        <v>0</v>
      </c>
      <c r="T812" t="inlineStr">
        <is>
          <t>BSA</t>
        </is>
      </c>
      <c r="U812" t="inlineStr">
        <is>
          <t>BSA</t>
        </is>
      </c>
      <c r="X812" s="16" t="n">
        <v>45328</v>
      </c>
    </row>
    <row r="813">
      <c r="C813" t="inlineStr">
        <is>
          <t>BSA</t>
        </is>
      </c>
      <c r="D813" t="inlineStr">
        <is>
          <t>BSA</t>
        </is>
      </c>
      <c r="E813" t="inlineStr">
        <is>
          <t>당월</t>
        </is>
      </c>
      <c r="F813" t="inlineStr">
        <is>
          <t>1월 4주차</t>
        </is>
      </c>
      <c r="G813" t="inlineStr">
        <is>
          <t>네이버</t>
        </is>
      </c>
      <c r="H813" s="16" t="n">
        <v>45316</v>
      </c>
      <c r="I813" t="inlineStr">
        <is>
          <t>MO</t>
        </is>
      </c>
      <c r="J813" t="inlineStr">
        <is>
          <t>00.브랜드검색PCMO</t>
        </is>
      </c>
      <c r="K813" t="inlineStr">
        <is>
          <t>01.MO브랜드검색</t>
        </is>
      </c>
      <c r="M813" t="n">
        <v>0</v>
      </c>
      <c r="N813" t="n">
        <v>0</v>
      </c>
      <c r="O813" t="n">
        <v>51333.33333333334</v>
      </c>
      <c r="P813" t="n">
        <v>0</v>
      </c>
      <c r="Q813" t="n">
        <v>0</v>
      </c>
      <c r="R813" t="n">
        <v>0</v>
      </c>
      <c r="S813" t="n">
        <v>0</v>
      </c>
      <c r="T813" t="inlineStr">
        <is>
          <t>BSA</t>
        </is>
      </c>
      <c r="U813" t="inlineStr">
        <is>
          <t>BSA</t>
        </is>
      </c>
      <c r="X813" s="16" t="n">
        <v>45329</v>
      </c>
    </row>
    <row r="814">
      <c r="C814" t="inlineStr">
        <is>
          <t>BSA</t>
        </is>
      </c>
      <c r="D814" t="inlineStr">
        <is>
          <t>BSA</t>
        </is>
      </c>
      <c r="E814" t="inlineStr">
        <is>
          <t>당월</t>
        </is>
      </c>
      <c r="F814" t="inlineStr">
        <is>
          <t>1월 4주차</t>
        </is>
      </c>
      <c r="G814" t="inlineStr">
        <is>
          <t>네이버</t>
        </is>
      </c>
      <c r="H814" s="16" t="n">
        <v>45317</v>
      </c>
      <c r="I814" t="inlineStr">
        <is>
          <t>PC</t>
        </is>
      </c>
      <c r="J814" t="inlineStr">
        <is>
          <t>00.브랜드검색PCMO</t>
        </is>
      </c>
      <c r="K814" t="inlineStr">
        <is>
          <t>01.PC브랜드검색</t>
        </is>
      </c>
      <c r="M814" t="n">
        <v>0</v>
      </c>
      <c r="N814" t="n">
        <v>0</v>
      </c>
      <c r="O814" t="n">
        <v>36666.66666666666</v>
      </c>
      <c r="P814" t="n">
        <v>0</v>
      </c>
      <c r="Q814" t="n">
        <v>0</v>
      </c>
      <c r="R814" t="n">
        <v>0</v>
      </c>
      <c r="S814" t="n">
        <v>0</v>
      </c>
      <c r="T814" t="inlineStr">
        <is>
          <t>BSA</t>
        </is>
      </c>
      <c r="U814" t="inlineStr">
        <is>
          <t>BSA</t>
        </is>
      </c>
      <c r="X814" s="16" t="n">
        <v>45330</v>
      </c>
    </row>
    <row r="815">
      <c r="C815" t="inlineStr">
        <is>
          <t>BSA</t>
        </is>
      </c>
      <c r="D815" t="inlineStr">
        <is>
          <t>BSA</t>
        </is>
      </c>
      <c r="E815" t="inlineStr">
        <is>
          <t>당월</t>
        </is>
      </c>
      <c r="F815" t="inlineStr">
        <is>
          <t>1월 4주차</t>
        </is>
      </c>
      <c r="G815" t="inlineStr">
        <is>
          <t>네이버</t>
        </is>
      </c>
      <c r="H815" s="16" t="n">
        <v>45317</v>
      </c>
      <c r="I815" t="inlineStr">
        <is>
          <t>MO</t>
        </is>
      </c>
      <c r="J815" t="inlineStr">
        <is>
          <t>00.브랜드검색PCMO</t>
        </is>
      </c>
      <c r="K815" t="inlineStr">
        <is>
          <t>01.MO브랜드검색</t>
        </is>
      </c>
      <c r="M815" t="n">
        <v>0</v>
      </c>
      <c r="N815" t="n">
        <v>0</v>
      </c>
      <c r="O815" t="n">
        <v>51333.33333333334</v>
      </c>
      <c r="P815" t="n">
        <v>0</v>
      </c>
      <c r="Q815" t="n">
        <v>0</v>
      </c>
      <c r="R815" t="n">
        <v>0</v>
      </c>
      <c r="S815" t="n">
        <v>0</v>
      </c>
      <c r="T815" t="inlineStr">
        <is>
          <t>BSA</t>
        </is>
      </c>
      <c r="U815" t="inlineStr">
        <is>
          <t>BSA</t>
        </is>
      </c>
      <c r="X815" s="16" t="n">
        <v>45331</v>
      </c>
    </row>
    <row r="816">
      <c r="C816" t="inlineStr">
        <is>
          <t>BSA</t>
        </is>
      </c>
      <c r="D816" t="inlineStr">
        <is>
          <t>BSA</t>
        </is>
      </c>
      <c r="E816" t="inlineStr">
        <is>
          <t>당월</t>
        </is>
      </c>
      <c r="F816" t="inlineStr">
        <is>
          <t>1월 4주차</t>
        </is>
      </c>
      <c r="G816" t="inlineStr">
        <is>
          <t>네이버</t>
        </is>
      </c>
      <c r="H816" s="16" t="n">
        <v>45318</v>
      </c>
      <c r="I816" t="inlineStr">
        <is>
          <t>PC</t>
        </is>
      </c>
      <c r="J816" t="inlineStr">
        <is>
          <t>00.브랜드검색PCMO</t>
        </is>
      </c>
      <c r="K816" t="inlineStr">
        <is>
          <t>01.PC브랜드검색</t>
        </is>
      </c>
      <c r="M816" t="n">
        <v>0</v>
      </c>
      <c r="N816" t="n">
        <v>0</v>
      </c>
      <c r="O816" t="n">
        <v>36666.66666666666</v>
      </c>
      <c r="P816" t="n">
        <v>0</v>
      </c>
      <c r="Q816" t="n">
        <v>0</v>
      </c>
      <c r="R816" t="n">
        <v>0</v>
      </c>
      <c r="S816" t="n">
        <v>0</v>
      </c>
      <c r="T816" t="inlineStr">
        <is>
          <t>BSA</t>
        </is>
      </c>
      <c r="U816" t="inlineStr">
        <is>
          <t>BSA</t>
        </is>
      </c>
      <c r="X816" s="16" t="n">
        <v>45332</v>
      </c>
    </row>
    <row r="817">
      <c r="C817" t="inlineStr">
        <is>
          <t>BSA</t>
        </is>
      </c>
      <c r="D817" t="inlineStr">
        <is>
          <t>BSA</t>
        </is>
      </c>
      <c r="E817" t="inlineStr">
        <is>
          <t>당월</t>
        </is>
      </c>
      <c r="F817" t="inlineStr">
        <is>
          <t>1월 4주차</t>
        </is>
      </c>
      <c r="G817" t="inlineStr">
        <is>
          <t>네이버</t>
        </is>
      </c>
      <c r="H817" s="16" t="n">
        <v>45318</v>
      </c>
      <c r="I817" t="inlineStr">
        <is>
          <t>MO</t>
        </is>
      </c>
      <c r="J817" t="inlineStr">
        <is>
          <t>00.브랜드검색PCMO</t>
        </is>
      </c>
      <c r="K817" t="inlineStr">
        <is>
          <t>01.MO브랜드검색</t>
        </is>
      </c>
      <c r="M817" t="n">
        <v>0</v>
      </c>
      <c r="N817" t="n">
        <v>0</v>
      </c>
      <c r="O817" t="n">
        <v>51333.33333333334</v>
      </c>
      <c r="P817" t="n">
        <v>0</v>
      </c>
      <c r="Q817" t="n">
        <v>0</v>
      </c>
      <c r="R817" t="n">
        <v>0</v>
      </c>
      <c r="S817" t="n">
        <v>0</v>
      </c>
      <c r="T817" t="inlineStr">
        <is>
          <t>BSA</t>
        </is>
      </c>
      <c r="U817" t="inlineStr">
        <is>
          <t>BSA</t>
        </is>
      </c>
    </row>
    <row r="818">
      <c r="C818" t="inlineStr">
        <is>
          <t>BSA</t>
        </is>
      </c>
      <c r="D818" t="inlineStr">
        <is>
          <t>BSA</t>
        </is>
      </c>
      <c r="E818" t="inlineStr">
        <is>
          <t>당월</t>
        </is>
      </c>
      <c r="F818" t="inlineStr">
        <is>
          <t>1월 4주차</t>
        </is>
      </c>
      <c r="G818" t="inlineStr">
        <is>
          <t>네이버</t>
        </is>
      </c>
      <c r="H818" s="16" t="n">
        <v>45319</v>
      </c>
      <c r="I818" t="inlineStr">
        <is>
          <t>PC</t>
        </is>
      </c>
      <c r="J818" t="inlineStr">
        <is>
          <t>00.브랜드검색PCMO</t>
        </is>
      </c>
      <c r="K818" t="inlineStr">
        <is>
          <t>01.PC브랜드검색</t>
        </is>
      </c>
      <c r="M818" t="n">
        <v>0</v>
      </c>
      <c r="N818" t="n">
        <v>0</v>
      </c>
      <c r="O818" t="n">
        <v>36666.66666666666</v>
      </c>
      <c r="P818" t="n">
        <v>0</v>
      </c>
      <c r="Q818" t="n">
        <v>0</v>
      </c>
      <c r="R818" t="n">
        <v>0</v>
      </c>
      <c r="S818" t="n">
        <v>0</v>
      </c>
      <c r="T818" t="inlineStr">
        <is>
          <t>BSA</t>
        </is>
      </c>
      <c r="U818" t="inlineStr">
        <is>
          <t>BSA</t>
        </is>
      </c>
    </row>
    <row r="819">
      <c r="C819" t="inlineStr">
        <is>
          <t>BSA</t>
        </is>
      </c>
      <c r="D819" t="inlineStr">
        <is>
          <t>BSA</t>
        </is>
      </c>
      <c r="E819" t="inlineStr">
        <is>
          <t>당월</t>
        </is>
      </c>
      <c r="F819" t="inlineStr">
        <is>
          <t>1월 4주차</t>
        </is>
      </c>
      <c r="G819" t="inlineStr">
        <is>
          <t>네이버</t>
        </is>
      </c>
      <c r="H819" s="16" t="n">
        <v>45319</v>
      </c>
      <c r="I819" t="inlineStr">
        <is>
          <t>MO</t>
        </is>
      </c>
      <c r="J819" t="inlineStr">
        <is>
          <t>00.브랜드검색PCMO</t>
        </is>
      </c>
      <c r="K819" t="inlineStr">
        <is>
          <t>01.MO브랜드검색</t>
        </is>
      </c>
      <c r="M819" t="n">
        <v>0</v>
      </c>
      <c r="N819" t="n">
        <v>0</v>
      </c>
      <c r="O819" t="n">
        <v>51333.33333333334</v>
      </c>
      <c r="P819" t="n">
        <v>0</v>
      </c>
      <c r="Q819" t="n">
        <v>0</v>
      </c>
      <c r="R819" t="n">
        <v>0</v>
      </c>
      <c r="S819" t="n">
        <v>0</v>
      </c>
      <c r="T819" t="inlineStr">
        <is>
          <t>BSA</t>
        </is>
      </c>
      <c r="U819" t="inlineStr">
        <is>
          <t>BSA</t>
        </is>
      </c>
    </row>
    <row r="820">
      <c r="H820" s="16" t="n"/>
    </row>
    <row r="822">
      <c r="C822" t="inlineStr">
        <is>
          <t>BSA</t>
        </is>
      </c>
      <c r="D822" t="inlineStr">
        <is>
          <t>BSA</t>
        </is>
      </c>
      <c r="E822" t="inlineStr">
        <is>
          <t>당월</t>
        </is>
      </c>
      <c r="F822" t="inlineStr">
        <is>
          <t>1월 4주차</t>
        </is>
      </c>
      <c r="G822" t="inlineStr">
        <is>
          <t>네이버</t>
        </is>
      </c>
      <c r="H822" s="16" t="n">
        <v>45320</v>
      </c>
      <c r="I822" t="inlineStr">
        <is>
          <t>PC</t>
        </is>
      </c>
      <c r="J822" t="inlineStr">
        <is>
          <t>00.브랜드검색PCMO</t>
        </is>
      </c>
      <c r="K822" t="inlineStr">
        <is>
          <t>01.PC브랜드검색</t>
        </is>
      </c>
      <c r="M822" t="n">
        <v>0</v>
      </c>
      <c r="N822" t="n">
        <v>0</v>
      </c>
      <c r="O822" t="n">
        <v>36666.66666666666</v>
      </c>
      <c r="P822" t="n">
        <v>0</v>
      </c>
      <c r="Q822" t="n">
        <v>0</v>
      </c>
      <c r="R822" t="n">
        <v>0</v>
      </c>
      <c r="S822" t="n">
        <v>0</v>
      </c>
      <c r="T822" t="inlineStr">
        <is>
          <t>BSA</t>
        </is>
      </c>
      <c r="U822" t="inlineStr">
        <is>
          <t>BSA</t>
        </is>
      </c>
    </row>
    <row r="823">
      <c r="C823" t="inlineStr">
        <is>
          <t>BSA</t>
        </is>
      </c>
      <c r="D823" t="inlineStr">
        <is>
          <t>BSA</t>
        </is>
      </c>
      <c r="E823" t="inlineStr">
        <is>
          <t>당월</t>
        </is>
      </c>
      <c r="F823" t="inlineStr">
        <is>
          <t>1월 4주차</t>
        </is>
      </c>
      <c r="G823" t="inlineStr">
        <is>
          <t>네이버</t>
        </is>
      </c>
      <c r="H823" s="16" t="n">
        <v>45320</v>
      </c>
      <c r="I823" t="inlineStr">
        <is>
          <t>MO</t>
        </is>
      </c>
      <c r="J823" t="inlineStr">
        <is>
          <t>00.브랜드검색PCMO</t>
        </is>
      </c>
      <c r="K823" t="inlineStr">
        <is>
          <t>01.MO브랜드검색</t>
        </is>
      </c>
      <c r="M823" t="n">
        <v>0</v>
      </c>
      <c r="N823" t="n">
        <v>0</v>
      </c>
      <c r="O823" t="n">
        <v>51333.33333333334</v>
      </c>
      <c r="P823" t="n">
        <v>0</v>
      </c>
      <c r="Q823" t="n">
        <v>0</v>
      </c>
      <c r="R823" t="n">
        <v>0</v>
      </c>
      <c r="S823" t="n">
        <v>0</v>
      </c>
      <c r="T823" t="inlineStr">
        <is>
          <t>BSA</t>
        </is>
      </c>
      <c r="U823" t="inlineStr">
        <is>
          <t>BSA</t>
        </is>
      </c>
    </row>
    <row r="824">
      <c r="C824" t="inlineStr">
        <is>
          <t>BSA</t>
        </is>
      </c>
      <c r="D824" t="inlineStr">
        <is>
          <t>BSA</t>
        </is>
      </c>
      <c r="E824" t="inlineStr">
        <is>
          <t>당월</t>
        </is>
      </c>
      <c r="F824" t="inlineStr">
        <is>
          <t>1월 4주차</t>
        </is>
      </c>
      <c r="G824" t="inlineStr">
        <is>
          <t>네이버</t>
        </is>
      </c>
      <c r="H824" s="16" t="n">
        <v>45321</v>
      </c>
      <c r="I824" t="inlineStr">
        <is>
          <t>PC</t>
        </is>
      </c>
      <c r="J824" t="inlineStr">
        <is>
          <t>00.브랜드검색PCMO</t>
        </is>
      </c>
      <c r="K824" t="inlineStr">
        <is>
          <t>01.PC브랜드검색</t>
        </is>
      </c>
      <c r="M824" t="n">
        <v>0</v>
      </c>
      <c r="N824" t="n">
        <v>0</v>
      </c>
      <c r="O824" t="n">
        <v>36666.66666666666</v>
      </c>
      <c r="P824" t="n">
        <v>0</v>
      </c>
      <c r="Q824" t="n">
        <v>0</v>
      </c>
      <c r="R824" t="n">
        <v>0</v>
      </c>
      <c r="S824" t="n">
        <v>0</v>
      </c>
      <c r="T824" t="inlineStr">
        <is>
          <t>BSA</t>
        </is>
      </c>
      <c r="U824" t="inlineStr">
        <is>
          <t>BSA</t>
        </is>
      </c>
    </row>
    <row r="825">
      <c r="C825" t="inlineStr">
        <is>
          <t>BSA</t>
        </is>
      </c>
      <c r="D825" t="inlineStr">
        <is>
          <t>BSA</t>
        </is>
      </c>
      <c r="E825" t="inlineStr">
        <is>
          <t>당월</t>
        </is>
      </c>
      <c r="F825" t="inlineStr">
        <is>
          <t>1월 4주차</t>
        </is>
      </c>
      <c r="G825" t="inlineStr">
        <is>
          <t>네이버</t>
        </is>
      </c>
      <c r="H825" s="16" t="n">
        <v>45321</v>
      </c>
      <c r="I825" t="inlineStr">
        <is>
          <t>MO</t>
        </is>
      </c>
      <c r="J825" t="inlineStr">
        <is>
          <t>00.브랜드검색PCMO</t>
        </is>
      </c>
      <c r="K825" t="inlineStr">
        <is>
          <t>01.MO브랜드검색</t>
        </is>
      </c>
      <c r="M825" t="n">
        <v>0</v>
      </c>
      <c r="N825" t="n">
        <v>0</v>
      </c>
      <c r="O825" t="n">
        <v>51333.33333333334</v>
      </c>
      <c r="P825" t="n">
        <v>0</v>
      </c>
      <c r="Q825" t="n">
        <v>0</v>
      </c>
      <c r="R825" t="n">
        <v>0</v>
      </c>
      <c r="S825" t="n">
        <v>0</v>
      </c>
      <c r="T825" t="inlineStr">
        <is>
          <t>BSA</t>
        </is>
      </c>
      <c r="U825" t="inlineStr">
        <is>
          <t>BSA</t>
        </is>
      </c>
    </row>
    <row r="826">
      <c r="C826" t="inlineStr">
        <is>
          <t>BSA</t>
        </is>
      </c>
      <c r="D826" t="inlineStr">
        <is>
          <t>BSA</t>
        </is>
      </c>
      <c r="E826" t="inlineStr">
        <is>
          <t>당월</t>
        </is>
      </c>
      <c r="F826" t="inlineStr">
        <is>
          <t>1월 4주차</t>
        </is>
      </c>
      <c r="G826" t="inlineStr">
        <is>
          <t>네이버</t>
        </is>
      </c>
      <c r="H826" s="16" t="n">
        <v>45322</v>
      </c>
      <c r="I826" t="inlineStr">
        <is>
          <t>PC</t>
        </is>
      </c>
      <c r="J826" t="inlineStr">
        <is>
          <t>00.브랜드검색PCMO</t>
        </is>
      </c>
      <c r="K826" t="inlineStr">
        <is>
          <t>01.PC브랜드검색</t>
        </is>
      </c>
      <c r="M826" t="n">
        <v>0</v>
      </c>
      <c r="N826" t="n">
        <v>0</v>
      </c>
      <c r="O826" t="n">
        <v>36666.66666666666</v>
      </c>
      <c r="P826" t="n">
        <v>0</v>
      </c>
      <c r="Q826" t="n">
        <v>0</v>
      </c>
      <c r="R826" t="n">
        <v>0</v>
      </c>
      <c r="S826" t="n">
        <v>0</v>
      </c>
      <c r="T826" t="inlineStr">
        <is>
          <t>BSA</t>
        </is>
      </c>
      <c r="U826" t="inlineStr">
        <is>
          <t>BSA</t>
        </is>
      </c>
    </row>
    <row r="827">
      <c r="C827" t="inlineStr">
        <is>
          <t>BSA</t>
        </is>
      </c>
      <c r="D827" t="inlineStr">
        <is>
          <t>BSA</t>
        </is>
      </c>
      <c r="E827" t="inlineStr">
        <is>
          <t>당월</t>
        </is>
      </c>
      <c r="F827" t="inlineStr">
        <is>
          <t>1월 4주차</t>
        </is>
      </c>
      <c r="G827" t="inlineStr">
        <is>
          <t>네이버</t>
        </is>
      </c>
      <c r="H827" s="16" t="n">
        <v>45322</v>
      </c>
      <c r="I827" t="inlineStr">
        <is>
          <t>MO</t>
        </is>
      </c>
      <c r="J827" t="inlineStr">
        <is>
          <t>00.브랜드검색PCMO</t>
        </is>
      </c>
      <c r="K827" t="inlineStr">
        <is>
          <t>01.MO브랜드검색</t>
        </is>
      </c>
      <c r="M827" t="n">
        <v>0</v>
      </c>
      <c r="N827" t="n">
        <v>0</v>
      </c>
      <c r="O827" t="n">
        <v>51333.33333333334</v>
      </c>
      <c r="P827" t="n">
        <v>0</v>
      </c>
      <c r="Q827" t="n">
        <v>0</v>
      </c>
      <c r="R827" t="n">
        <v>0</v>
      </c>
      <c r="S827" t="n">
        <v>0</v>
      </c>
      <c r="T827" t="inlineStr">
        <is>
          <t>BSA</t>
        </is>
      </c>
      <c r="U827" t="inlineStr">
        <is>
          <t>BSA</t>
        </is>
      </c>
    </row>
    <row r="829">
      <c r="H829" s="3" t="n"/>
    </row>
    <row r="830">
      <c r="H830" s="3" t="n"/>
    </row>
    <row r="831">
      <c r="C831" t="inlineStr">
        <is>
          <t>BSA</t>
        </is>
      </c>
      <c r="D831" t="inlineStr">
        <is>
          <t>BSA</t>
        </is>
      </c>
      <c r="E831" t="inlineStr">
        <is>
          <t>당월</t>
        </is>
      </c>
      <c r="F831" t="inlineStr">
        <is>
          <t>2월 1주차</t>
        </is>
      </c>
      <c r="G831" t="inlineStr">
        <is>
          <t>네이버</t>
        </is>
      </c>
      <c r="H831" s="16" t="n">
        <v>45323</v>
      </c>
      <c r="I831" t="inlineStr">
        <is>
          <t>PC</t>
        </is>
      </c>
      <c r="J831" t="inlineStr">
        <is>
          <t>00.브랜드검색PCMO</t>
        </is>
      </c>
      <c r="K831" t="inlineStr">
        <is>
          <t>01.PC브랜드검색</t>
        </is>
      </c>
      <c r="M831" t="n">
        <v>0</v>
      </c>
      <c r="N831" t="n">
        <v>0</v>
      </c>
      <c r="O831" t="n">
        <v>36666.66666666666</v>
      </c>
      <c r="P831" t="n">
        <v>0</v>
      </c>
      <c r="Q831" t="n">
        <v>0</v>
      </c>
      <c r="R831" t="n">
        <v>0</v>
      </c>
      <c r="S831" t="n">
        <v>0</v>
      </c>
      <c r="T831" t="inlineStr">
        <is>
          <t>BSA</t>
        </is>
      </c>
      <c r="U831" t="inlineStr">
        <is>
          <t>BSA</t>
        </is>
      </c>
    </row>
    <row r="832">
      <c r="C832" t="inlineStr">
        <is>
          <t>BSA</t>
        </is>
      </c>
      <c r="D832" t="inlineStr">
        <is>
          <t>BSA</t>
        </is>
      </c>
      <c r="E832" t="inlineStr">
        <is>
          <t>당월</t>
        </is>
      </c>
      <c r="F832" t="inlineStr">
        <is>
          <t>2월 1주차</t>
        </is>
      </c>
      <c r="G832" t="inlineStr">
        <is>
          <t>네이버</t>
        </is>
      </c>
      <c r="H832" s="16" t="n">
        <v>45323</v>
      </c>
      <c r="I832" t="inlineStr">
        <is>
          <t>MO</t>
        </is>
      </c>
      <c r="J832" t="inlineStr">
        <is>
          <t>00.브랜드검색PCMO</t>
        </is>
      </c>
      <c r="K832" t="inlineStr">
        <is>
          <t>01.MO브랜드검색</t>
        </is>
      </c>
      <c r="M832" t="n">
        <v>0</v>
      </c>
      <c r="N832" t="n">
        <v>0</v>
      </c>
      <c r="O832" t="n">
        <v>51333.33333333334</v>
      </c>
      <c r="P832" t="n">
        <v>0</v>
      </c>
      <c r="Q832" t="n">
        <v>0</v>
      </c>
      <c r="R832" t="n">
        <v>0</v>
      </c>
      <c r="S832" t="n">
        <v>0</v>
      </c>
      <c r="T832" t="inlineStr">
        <is>
          <t>BSA</t>
        </is>
      </c>
      <c r="U832" t="inlineStr">
        <is>
          <t>BSA</t>
        </is>
      </c>
    </row>
    <row r="833">
      <c r="C833" t="inlineStr">
        <is>
          <t>BSA</t>
        </is>
      </c>
      <c r="D833" t="inlineStr">
        <is>
          <t>BSA</t>
        </is>
      </c>
      <c r="E833" t="inlineStr">
        <is>
          <t>당월</t>
        </is>
      </c>
      <c r="F833" t="inlineStr">
        <is>
          <t>2월 1주차</t>
        </is>
      </c>
      <c r="G833" t="inlineStr">
        <is>
          <t>네이버</t>
        </is>
      </c>
      <c r="H833" s="16" t="n">
        <v>45324</v>
      </c>
      <c r="I833" t="inlineStr">
        <is>
          <t>PC</t>
        </is>
      </c>
      <c r="J833" t="inlineStr">
        <is>
          <t>00.브랜드검색PCMO</t>
        </is>
      </c>
      <c r="K833" t="inlineStr">
        <is>
          <t>01.PC브랜드검색</t>
        </is>
      </c>
      <c r="M833" t="n">
        <v>0</v>
      </c>
      <c r="N833" t="n">
        <v>0</v>
      </c>
      <c r="O833" t="n">
        <v>36666.66666666666</v>
      </c>
      <c r="P833" t="n">
        <v>0</v>
      </c>
      <c r="Q833" t="n">
        <v>0</v>
      </c>
      <c r="R833" t="n">
        <v>0</v>
      </c>
      <c r="S833" t="n">
        <v>0</v>
      </c>
      <c r="T833" t="inlineStr">
        <is>
          <t>BSA</t>
        </is>
      </c>
      <c r="U833" t="inlineStr">
        <is>
          <t>BSA</t>
        </is>
      </c>
    </row>
    <row r="834">
      <c r="C834" t="inlineStr">
        <is>
          <t>BSA</t>
        </is>
      </c>
      <c r="D834" t="inlineStr">
        <is>
          <t>BSA</t>
        </is>
      </c>
      <c r="E834" t="inlineStr">
        <is>
          <t>당월</t>
        </is>
      </c>
      <c r="F834" t="inlineStr">
        <is>
          <t>2월 1주차</t>
        </is>
      </c>
      <c r="G834" t="inlineStr">
        <is>
          <t>네이버</t>
        </is>
      </c>
      <c r="H834" s="16" t="n">
        <v>45324</v>
      </c>
      <c r="I834" t="inlineStr">
        <is>
          <t>MO</t>
        </is>
      </c>
      <c r="J834" t="inlineStr">
        <is>
          <t>00.브랜드검색PCMO</t>
        </is>
      </c>
      <c r="K834" t="inlineStr">
        <is>
          <t>01.MO브랜드검색</t>
        </is>
      </c>
      <c r="M834" t="n">
        <v>0</v>
      </c>
      <c r="N834" t="n">
        <v>0</v>
      </c>
      <c r="O834" t="n">
        <v>51333.33333333334</v>
      </c>
      <c r="P834" t="n">
        <v>0</v>
      </c>
      <c r="Q834" t="n">
        <v>0</v>
      </c>
      <c r="R834" t="n">
        <v>0</v>
      </c>
      <c r="S834" t="n">
        <v>0</v>
      </c>
      <c r="T834" t="inlineStr">
        <is>
          <t>BSA</t>
        </is>
      </c>
      <c r="U834" t="inlineStr">
        <is>
          <t>BSA</t>
        </is>
      </c>
    </row>
    <row r="835">
      <c r="C835" t="inlineStr">
        <is>
          <t>BSA</t>
        </is>
      </c>
      <c r="D835" t="inlineStr">
        <is>
          <t>BSA</t>
        </is>
      </c>
      <c r="E835" t="inlineStr">
        <is>
          <t>당월</t>
        </is>
      </c>
      <c r="F835" t="inlineStr">
        <is>
          <t>2월 1주차</t>
        </is>
      </c>
      <c r="G835" t="inlineStr">
        <is>
          <t>네이버</t>
        </is>
      </c>
      <c r="H835" s="16" t="n">
        <v>45325</v>
      </c>
      <c r="I835" t="inlineStr">
        <is>
          <t>PC</t>
        </is>
      </c>
      <c r="J835" t="inlineStr">
        <is>
          <t>00.브랜드검색PCMO</t>
        </is>
      </c>
      <c r="K835" t="inlineStr">
        <is>
          <t>01.PC브랜드검색</t>
        </is>
      </c>
      <c r="M835" t="n">
        <v>0</v>
      </c>
      <c r="N835" t="n">
        <v>0</v>
      </c>
      <c r="O835" t="n">
        <v>36666.66666666666</v>
      </c>
      <c r="P835" t="n">
        <v>0</v>
      </c>
      <c r="Q835" t="n">
        <v>0</v>
      </c>
      <c r="R835" t="n">
        <v>0</v>
      </c>
      <c r="S835" t="n">
        <v>0</v>
      </c>
      <c r="T835" t="inlineStr">
        <is>
          <t>BSA</t>
        </is>
      </c>
      <c r="U835" t="inlineStr">
        <is>
          <t>BSA</t>
        </is>
      </c>
    </row>
    <row r="836">
      <c r="C836" t="inlineStr">
        <is>
          <t>BSA</t>
        </is>
      </c>
      <c r="D836" t="inlineStr">
        <is>
          <t>BSA</t>
        </is>
      </c>
      <c r="E836" t="inlineStr">
        <is>
          <t>당월</t>
        </is>
      </c>
      <c r="F836" t="inlineStr">
        <is>
          <t>2월 1주차</t>
        </is>
      </c>
      <c r="G836" t="inlineStr">
        <is>
          <t>네이버</t>
        </is>
      </c>
      <c r="H836" s="16" t="n">
        <v>45325</v>
      </c>
      <c r="I836" t="inlineStr">
        <is>
          <t>MO</t>
        </is>
      </c>
      <c r="J836" t="inlineStr">
        <is>
          <t>00.브랜드검색PCMO</t>
        </is>
      </c>
      <c r="K836" t="inlineStr">
        <is>
          <t>01.MO브랜드검색</t>
        </is>
      </c>
      <c r="M836" t="n">
        <v>0</v>
      </c>
      <c r="N836" t="n">
        <v>0</v>
      </c>
      <c r="O836" t="n">
        <v>51333.33333333334</v>
      </c>
      <c r="P836" t="n">
        <v>0</v>
      </c>
      <c r="Q836" t="n">
        <v>0</v>
      </c>
      <c r="R836" t="n">
        <v>0</v>
      </c>
      <c r="S836" t="n">
        <v>0</v>
      </c>
      <c r="T836" t="inlineStr">
        <is>
          <t>BSA</t>
        </is>
      </c>
      <c r="U836" t="inlineStr">
        <is>
          <t>BSA</t>
        </is>
      </c>
    </row>
    <row r="837">
      <c r="C837" t="inlineStr">
        <is>
          <t>BSA</t>
        </is>
      </c>
      <c r="D837" t="inlineStr">
        <is>
          <t>BSA</t>
        </is>
      </c>
      <c r="E837" t="inlineStr">
        <is>
          <t>당월</t>
        </is>
      </c>
      <c r="F837" t="inlineStr">
        <is>
          <t>2월 1주차</t>
        </is>
      </c>
      <c r="G837" t="inlineStr">
        <is>
          <t>네이버</t>
        </is>
      </c>
      <c r="H837" s="16" t="n">
        <v>45326</v>
      </c>
      <c r="I837" t="inlineStr">
        <is>
          <t>PC</t>
        </is>
      </c>
      <c r="J837" t="inlineStr">
        <is>
          <t>00.브랜드검색PCMO</t>
        </is>
      </c>
      <c r="K837" t="inlineStr">
        <is>
          <t>01.PC브랜드검색</t>
        </is>
      </c>
      <c r="M837" t="n">
        <v>0</v>
      </c>
      <c r="N837" t="n">
        <v>0</v>
      </c>
      <c r="O837" t="n">
        <v>36666.66666666666</v>
      </c>
      <c r="P837" t="n">
        <v>0</v>
      </c>
      <c r="Q837" t="n">
        <v>0</v>
      </c>
      <c r="R837" t="n">
        <v>0</v>
      </c>
      <c r="S837" t="n">
        <v>0</v>
      </c>
      <c r="T837" t="inlineStr">
        <is>
          <t>BSA</t>
        </is>
      </c>
      <c r="U837" t="inlineStr">
        <is>
          <t>BSA</t>
        </is>
      </c>
    </row>
    <row r="838">
      <c r="C838" t="inlineStr">
        <is>
          <t>BSA</t>
        </is>
      </c>
      <c r="D838" t="inlineStr">
        <is>
          <t>BSA</t>
        </is>
      </c>
      <c r="E838" t="inlineStr">
        <is>
          <t>당월</t>
        </is>
      </c>
      <c r="F838" t="inlineStr">
        <is>
          <t>2월 1주차</t>
        </is>
      </c>
      <c r="G838" t="inlineStr">
        <is>
          <t>네이버</t>
        </is>
      </c>
      <c r="H838" s="16" t="n">
        <v>45326</v>
      </c>
      <c r="I838" t="inlineStr">
        <is>
          <t>MO</t>
        </is>
      </c>
      <c r="J838" t="inlineStr">
        <is>
          <t>00.브랜드검색PCMO</t>
        </is>
      </c>
      <c r="K838" t="inlineStr">
        <is>
          <t>01.MO브랜드검색</t>
        </is>
      </c>
      <c r="M838" t="n">
        <v>0</v>
      </c>
      <c r="N838" t="n">
        <v>0</v>
      </c>
      <c r="O838" t="n">
        <v>51333.33333333334</v>
      </c>
      <c r="P838" t="n">
        <v>0</v>
      </c>
      <c r="Q838" t="n">
        <v>0</v>
      </c>
      <c r="R838" t="n">
        <v>0</v>
      </c>
      <c r="S838" t="n">
        <v>0</v>
      </c>
      <c r="T838" t="inlineStr">
        <is>
          <t>BSA</t>
        </is>
      </c>
      <c r="U838" t="inlineStr">
        <is>
          <t>BSA</t>
        </is>
      </c>
    </row>
    <row r="839">
      <c r="H839" s="3" t="n"/>
    </row>
    <row r="840">
      <c r="H840" s="3" t="n"/>
    </row>
    <row r="841">
      <c r="H841" s="3" t="n"/>
    </row>
    <row r="842">
      <c r="C842" t="inlineStr">
        <is>
          <t>BSA</t>
        </is>
      </c>
      <c r="D842" t="inlineStr">
        <is>
          <t>BSA</t>
        </is>
      </c>
      <c r="E842" t="inlineStr">
        <is>
          <t>당월</t>
        </is>
      </c>
      <c r="F842" t="inlineStr">
        <is>
          <t>2월 2주차</t>
        </is>
      </c>
      <c r="G842" t="inlineStr">
        <is>
          <t>네이버</t>
        </is>
      </c>
      <c r="H842" s="16" t="n">
        <v>45327</v>
      </c>
      <c r="I842" t="inlineStr">
        <is>
          <t>PC</t>
        </is>
      </c>
      <c r="J842" t="inlineStr">
        <is>
          <t>00.브랜드검색PCMO</t>
        </is>
      </c>
      <c r="K842" t="inlineStr">
        <is>
          <t>01.PC브랜드검색</t>
        </is>
      </c>
      <c r="M842" t="n">
        <v>0</v>
      </c>
      <c r="N842" t="n">
        <v>0</v>
      </c>
      <c r="O842" t="n">
        <v>36666.66666666666</v>
      </c>
      <c r="P842" t="n">
        <v>0</v>
      </c>
      <c r="Q842" t="n">
        <v>0</v>
      </c>
      <c r="R842" t="n">
        <v>0</v>
      </c>
      <c r="S842" t="n">
        <v>0</v>
      </c>
      <c r="T842" t="inlineStr">
        <is>
          <t>BSA</t>
        </is>
      </c>
      <c r="U842" t="inlineStr">
        <is>
          <t>BSA</t>
        </is>
      </c>
    </row>
    <row r="843">
      <c r="C843" t="inlineStr">
        <is>
          <t>BSA</t>
        </is>
      </c>
      <c r="D843" t="inlineStr">
        <is>
          <t>BSA</t>
        </is>
      </c>
      <c r="E843" t="inlineStr">
        <is>
          <t>당월</t>
        </is>
      </c>
      <c r="F843" t="inlineStr">
        <is>
          <t>2월 2주차</t>
        </is>
      </c>
      <c r="G843" t="inlineStr">
        <is>
          <t>네이버</t>
        </is>
      </c>
      <c r="H843" s="16" t="n">
        <v>45327</v>
      </c>
      <c r="I843" t="inlineStr">
        <is>
          <t>MO</t>
        </is>
      </c>
      <c r="J843" t="inlineStr">
        <is>
          <t>00.브랜드검색PCMO</t>
        </is>
      </c>
      <c r="K843" t="inlineStr">
        <is>
          <t>01.MO브랜드검색</t>
        </is>
      </c>
      <c r="M843" t="n">
        <v>0</v>
      </c>
      <c r="N843" t="n">
        <v>0</v>
      </c>
      <c r="O843" t="n">
        <v>51333.33333333334</v>
      </c>
      <c r="P843" t="n">
        <v>0</v>
      </c>
      <c r="Q843" t="n">
        <v>0</v>
      </c>
      <c r="R843" t="n">
        <v>0</v>
      </c>
      <c r="S843" t="n">
        <v>0</v>
      </c>
      <c r="T843" t="inlineStr">
        <is>
          <t>BSA</t>
        </is>
      </c>
      <c r="U843" t="inlineStr">
        <is>
          <t>BSA</t>
        </is>
      </c>
    </row>
    <row r="844">
      <c r="C844" t="inlineStr">
        <is>
          <t>BSA</t>
        </is>
      </c>
      <c r="D844" t="inlineStr">
        <is>
          <t>BSA</t>
        </is>
      </c>
      <c r="E844" t="inlineStr">
        <is>
          <t>당월</t>
        </is>
      </c>
      <c r="F844" t="inlineStr">
        <is>
          <t>2월 2주차</t>
        </is>
      </c>
      <c r="G844" t="inlineStr">
        <is>
          <t>네이버</t>
        </is>
      </c>
      <c r="H844" s="16" t="n">
        <v>45328</v>
      </c>
      <c r="I844" t="inlineStr">
        <is>
          <t>PC</t>
        </is>
      </c>
      <c r="J844" t="inlineStr">
        <is>
          <t>00.브랜드검색PCMO</t>
        </is>
      </c>
      <c r="K844" t="inlineStr">
        <is>
          <t>01.PC브랜드검색</t>
        </is>
      </c>
      <c r="M844" t="n">
        <v>0</v>
      </c>
      <c r="N844" t="n">
        <v>0</v>
      </c>
      <c r="O844" t="n">
        <v>36666.66666666666</v>
      </c>
      <c r="P844" t="n">
        <v>0</v>
      </c>
      <c r="Q844" t="n">
        <v>0</v>
      </c>
      <c r="R844" t="n">
        <v>0</v>
      </c>
      <c r="S844" t="n">
        <v>0</v>
      </c>
      <c r="T844" t="inlineStr">
        <is>
          <t>BSA</t>
        </is>
      </c>
      <c r="U844" t="inlineStr">
        <is>
          <t>BSA</t>
        </is>
      </c>
    </row>
    <row r="845">
      <c r="C845" t="inlineStr">
        <is>
          <t>BSA</t>
        </is>
      </c>
      <c r="D845" t="inlineStr">
        <is>
          <t>BSA</t>
        </is>
      </c>
      <c r="E845" t="inlineStr">
        <is>
          <t>당월</t>
        </is>
      </c>
      <c r="F845" t="inlineStr">
        <is>
          <t>2월 2주차</t>
        </is>
      </c>
      <c r="G845" t="inlineStr">
        <is>
          <t>네이버</t>
        </is>
      </c>
      <c r="H845" s="16" t="n">
        <v>45328</v>
      </c>
      <c r="I845" t="inlineStr">
        <is>
          <t>MO</t>
        </is>
      </c>
      <c r="J845" t="inlineStr">
        <is>
          <t>00.브랜드검색PCMO</t>
        </is>
      </c>
      <c r="K845" t="inlineStr">
        <is>
          <t>01.MO브랜드검색</t>
        </is>
      </c>
      <c r="M845" t="n">
        <v>0</v>
      </c>
      <c r="N845" t="n">
        <v>0</v>
      </c>
      <c r="O845" t="n">
        <v>51333.33333333334</v>
      </c>
      <c r="P845" t="n">
        <v>0</v>
      </c>
      <c r="Q845" t="n">
        <v>0</v>
      </c>
      <c r="R845" t="n">
        <v>0</v>
      </c>
      <c r="S845" t="n">
        <v>0</v>
      </c>
      <c r="T845" t="inlineStr">
        <is>
          <t>BSA</t>
        </is>
      </c>
      <c r="U845" t="inlineStr">
        <is>
          <t>BSA</t>
        </is>
      </c>
    </row>
    <row r="846">
      <c r="C846" t="inlineStr">
        <is>
          <t>BSA</t>
        </is>
      </c>
      <c r="D846" t="inlineStr">
        <is>
          <t>BSA</t>
        </is>
      </c>
      <c r="E846" t="inlineStr">
        <is>
          <t>당월</t>
        </is>
      </c>
      <c r="F846" t="inlineStr">
        <is>
          <t>2월 2주차</t>
        </is>
      </c>
      <c r="G846" t="inlineStr">
        <is>
          <t>네이버</t>
        </is>
      </c>
      <c r="H846" s="16" t="n">
        <v>45329</v>
      </c>
      <c r="I846" t="inlineStr">
        <is>
          <t>PC</t>
        </is>
      </c>
      <c r="J846" t="inlineStr">
        <is>
          <t>00.브랜드검색PCMO</t>
        </is>
      </c>
      <c r="K846" t="inlineStr">
        <is>
          <t>01.PC브랜드검색</t>
        </is>
      </c>
      <c r="M846" t="n">
        <v>0</v>
      </c>
      <c r="N846" t="n">
        <v>0</v>
      </c>
      <c r="O846" t="n">
        <v>36666.66666666666</v>
      </c>
      <c r="P846" t="n">
        <v>0</v>
      </c>
      <c r="Q846" t="n">
        <v>0</v>
      </c>
      <c r="R846" t="n">
        <v>0</v>
      </c>
      <c r="S846" t="n">
        <v>0</v>
      </c>
      <c r="T846" t="inlineStr">
        <is>
          <t>BSA</t>
        </is>
      </c>
      <c r="U846" t="inlineStr">
        <is>
          <t>BSA</t>
        </is>
      </c>
    </row>
    <row r="847">
      <c r="C847" t="inlineStr">
        <is>
          <t>BSA</t>
        </is>
      </c>
      <c r="D847" t="inlineStr">
        <is>
          <t>BSA</t>
        </is>
      </c>
      <c r="E847" t="inlineStr">
        <is>
          <t>당월</t>
        </is>
      </c>
      <c r="F847" t="inlineStr">
        <is>
          <t>2월 2주차</t>
        </is>
      </c>
      <c r="G847" t="inlineStr">
        <is>
          <t>네이버</t>
        </is>
      </c>
      <c r="H847" s="16" t="n">
        <v>45329</v>
      </c>
      <c r="I847" t="inlineStr">
        <is>
          <t>MO</t>
        </is>
      </c>
      <c r="J847" t="inlineStr">
        <is>
          <t>00.브랜드검색PCMO</t>
        </is>
      </c>
      <c r="K847" t="inlineStr">
        <is>
          <t>01.MO브랜드검색</t>
        </is>
      </c>
      <c r="M847" t="n">
        <v>0</v>
      </c>
      <c r="N847" t="n">
        <v>0</v>
      </c>
      <c r="O847" t="n">
        <v>51333.33333333334</v>
      </c>
      <c r="P847" t="n">
        <v>0</v>
      </c>
      <c r="Q847" t="n">
        <v>0</v>
      </c>
      <c r="R847" t="n">
        <v>0</v>
      </c>
      <c r="S847" t="n">
        <v>0</v>
      </c>
      <c r="T847" t="inlineStr">
        <is>
          <t>BSA</t>
        </is>
      </c>
      <c r="U847" t="inlineStr">
        <is>
          <t>BSA</t>
        </is>
      </c>
    </row>
    <row r="848">
      <c r="C848" t="inlineStr">
        <is>
          <t>BSA</t>
        </is>
      </c>
      <c r="D848" t="inlineStr">
        <is>
          <t>BSA</t>
        </is>
      </c>
      <c r="E848" t="inlineStr">
        <is>
          <t>당월</t>
        </is>
      </c>
      <c r="F848" t="inlineStr">
        <is>
          <t>2월 2주차</t>
        </is>
      </c>
      <c r="G848" t="inlineStr">
        <is>
          <t>네이버</t>
        </is>
      </c>
      <c r="H848" s="16" t="n">
        <v>45330</v>
      </c>
      <c r="I848" t="inlineStr">
        <is>
          <t>PC</t>
        </is>
      </c>
      <c r="J848" t="inlineStr">
        <is>
          <t>00.브랜드검색PCMO</t>
        </is>
      </c>
      <c r="K848" t="inlineStr">
        <is>
          <t>01.PC브랜드검색</t>
        </is>
      </c>
      <c r="M848" t="n">
        <v>0</v>
      </c>
      <c r="N848" t="n">
        <v>0</v>
      </c>
      <c r="O848" t="n">
        <v>36666.66666666666</v>
      </c>
      <c r="P848" t="n">
        <v>0</v>
      </c>
      <c r="Q848" t="n">
        <v>0</v>
      </c>
      <c r="R848" t="n">
        <v>0</v>
      </c>
      <c r="S848" t="n">
        <v>0</v>
      </c>
      <c r="T848" t="inlineStr">
        <is>
          <t>BSA</t>
        </is>
      </c>
      <c r="U848" t="inlineStr">
        <is>
          <t>BSA</t>
        </is>
      </c>
    </row>
    <row r="849">
      <c r="C849" t="inlineStr">
        <is>
          <t>BSA</t>
        </is>
      </c>
      <c r="D849" t="inlineStr">
        <is>
          <t>BSA</t>
        </is>
      </c>
      <c r="E849" t="inlineStr">
        <is>
          <t>당월</t>
        </is>
      </c>
      <c r="F849" t="inlineStr">
        <is>
          <t>2월 2주차</t>
        </is>
      </c>
      <c r="G849" t="inlineStr">
        <is>
          <t>네이버</t>
        </is>
      </c>
      <c r="H849" s="16" t="n">
        <v>45330</v>
      </c>
      <c r="I849" t="inlineStr">
        <is>
          <t>MO</t>
        </is>
      </c>
      <c r="J849" t="inlineStr">
        <is>
          <t>00.브랜드검색PCMO</t>
        </is>
      </c>
      <c r="K849" t="inlineStr">
        <is>
          <t>01.MO브랜드검색</t>
        </is>
      </c>
      <c r="M849" t="n">
        <v>0</v>
      </c>
      <c r="N849" t="n">
        <v>0</v>
      </c>
      <c r="O849" t="n">
        <v>51333.33333333334</v>
      </c>
      <c r="P849" t="n">
        <v>0</v>
      </c>
      <c r="Q849" t="n">
        <v>0</v>
      </c>
      <c r="R849" t="n">
        <v>0</v>
      </c>
      <c r="S849" t="n">
        <v>0</v>
      </c>
      <c r="T849" t="inlineStr">
        <is>
          <t>BSA</t>
        </is>
      </c>
      <c r="U849" t="inlineStr">
        <is>
          <t>BSA</t>
        </is>
      </c>
    </row>
    <row r="850">
      <c r="C850" t="inlineStr">
        <is>
          <t>BSA</t>
        </is>
      </c>
      <c r="D850" t="inlineStr">
        <is>
          <t>BSA</t>
        </is>
      </c>
      <c r="E850" t="inlineStr">
        <is>
          <t>당월</t>
        </is>
      </c>
      <c r="F850" t="inlineStr">
        <is>
          <t>2월 2주차</t>
        </is>
      </c>
      <c r="G850" t="inlineStr">
        <is>
          <t>네이버</t>
        </is>
      </c>
      <c r="H850" s="16" t="n">
        <v>45331</v>
      </c>
      <c r="I850" t="inlineStr">
        <is>
          <t>PC</t>
        </is>
      </c>
      <c r="J850" t="inlineStr">
        <is>
          <t>00.브랜드검색PCMO</t>
        </is>
      </c>
      <c r="K850" t="inlineStr">
        <is>
          <t>01.PC브랜드검색</t>
        </is>
      </c>
      <c r="M850" t="n">
        <v>0</v>
      </c>
      <c r="N850" t="n">
        <v>0</v>
      </c>
      <c r="O850" t="n">
        <v>36666.66666666666</v>
      </c>
      <c r="P850" t="n">
        <v>0</v>
      </c>
      <c r="Q850" t="n">
        <v>0</v>
      </c>
      <c r="R850" t="n">
        <v>0</v>
      </c>
      <c r="S850" t="n">
        <v>0</v>
      </c>
      <c r="T850" t="inlineStr">
        <is>
          <t>BSA</t>
        </is>
      </c>
      <c r="U850" t="inlineStr">
        <is>
          <t>BSA</t>
        </is>
      </c>
    </row>
    <row r="851">
      <c r="C851" t="inlineStr">
        <is>
          <t>BSA</t>
        </is>
      </c>
      <c r="D851" t="inlineStr">
        <is>
          <t>BSA</t>
        </is>
      </c>
      <c r="E851" t="inlineStr">
        <is>
          <t>당월</t>
        </is>
      </c>
      <c r="F851" t="inlineStr">
        <is>
          <t>2월 2주차</t>
        </is>
      </c>
      <c r="G851" t="inlineStr">
        <is>
          <t>네이버</t>
        </is>
      </c>
      <c r="H851" s="16" t="n">
        <v>45331</v>
      </c>
      <c r="I851" t="inlineStr">
        <is>
          <t>MO</t>
        </is>
      </c>
      <c r="J851" t="inlineStr">
        <is>
          <t>00.브랜드검색PCMO</t>
        </is>
      </c>
      <c r="K851" t="inlineStr">
        <is>
          <t>01.MO브랜드검색</t>
        </is>
      </c>
      <c r="M851" t="n">
        <v>0</v>
      </c>
      <c r="N851" t="n">
        <v>0</v>
      </c>
      <c r="O851" t="n">
        <v>51333.33333333334</v>
      </c>
      <c r="P851" t="n">
        <v>0</v>
      </c>
      <c r="Q851" t="n">
        <v>0</v>
      </c>
      <c r="R851" t="n">
        <v>0</v>
      </c>
      <c r="S851" t="n">
        <v>0</v>
      </c>
      <c r="T851" t="inlineStr">
        <is>
          <t>BSA</t>
        </is>
      </c>
      <c r="U851" t="inlineStr">
        <is>
          <t>BSA</t>
        </is>
      </c>
    </row>
    <row r="852">
      <c r="C852" t="inlineStr">
        <is>
          <t>BSA</t>
        </is>
      </c>
      <c r="D852" t="inlineStr">
        <is>
          <t>BSA</t>
        </is>
      </c>
      <c r="E852" t="inlineStr">
        <is>
          <t>당월</t>
        </is>
      </c>
      <c r="F852" t="inlineStr">
        <is>
          <t>2월 2주차</t>
        </is>
      </c>
      <c r="G852" t="inlineStr">
        <is>
          <t>네이버</t>
        </is>
      </c>
      <c r="H852" s="16" t="n">
        <v>45332</v>
      </c>
      <c r="I852" t="inlineStr">
        <is>
          <t>PC</t>
        </is>
      </c>
      <c r="J852" t="inlineStr">
        <is>
          <t>00.브랜드검색PCMO</t>
        </is>
      </c>
      <c r="K852" t="inlineStr">
        <is>
          <t>01.PC브랜드검색</t>
        </is>
      </c>
      <c r="M852" t="n">
        <v>0</v>
      </c>
      <c r="N852" t="n">
        <v>0</v>
      </c>
      <c r="O852" t="n">
        <v>36666.66666666666</v>
      </c>
      <c r="P852" t="n">
        <v>0</v>
      </c>
      <c r="Q852" t="n">
        <v>0</v>
      </c>
      <c r="R852" t="n">
        <v>0</v>
      </c>
      <c r="S852" t="n">
        <v>0</v>
      </c>
      <c r="T852" t="inlineStr">
        <is>
          <t>BSA</t>
        </is>
      </c>
      <c r="U852" t="inlineStr">
        <is>
          <t>BSA</t>
        </is>
      </c>
    </row>
    <row r="853">
      <c r="C853" t="inlineStr">
        <is>
          <t>BSA</t>
        </is>
      </c>
      <c r="D853" t="inlineStr">
        <is>
          <t>BSA</t>
        </is>
      </c>
      <c r="E853" t="inlineStr">
        <is>
          <t>당월</t>
        </is>
      </c>
      <c r="F853" t="inlineStr">
        <is>
          <t>2월 2주차</t>
        </is>
      </c>
      <c r="G853" t="inlineStr">
        <is>
          <t>네이버</t>
        </is>
      </c>
      <c r="H853" s="16" t="n">
        <v>45332</v>
      </c>
      <c r="I853" t="inlineStr">
        <is>
          <t>MO</t>
        </is>
      </c>
      <c r="J853" t="inlineStr">
        <is>
          <t>00.브랜드검색PCMO</t>
        </is>
      </c>
      <c r="K853" t="inlineStr">
        <is>
          <t>01.MO브랜드검색</t>
        </is>
      </c>
      <c r="M853" t="n">
        <v>0</v>
      </c>
      <c r="N853" t="n">
        <v>0</v>
      </c>
      <c r="O853" t="n">
        <v>51333.33333333334</v>
      </c>
      <c r="P853" t="n">
        <v>0</v>
      </c>
      <c r="Q853" t="n">
        <v>0</v>
      </c>
      <c r="R853" t="n">
        <v>0</v>
      </c>
      <c r="S853" t="n">
        <v>0</v>
      </c>
      <c r="T853" t="inlineStr">
        <is>
          <t>BSA</t>
        </is>
      </c>
      <c r="U853" t="inlineStr">
        <is>
          <t>BSA</t>
        </is>
      </c>
    </row>
    <row r="854">
      <c r="C854" t="inlineStr">
        <is>
          <t>BSA</t>
        </is>
      </c>
      <c r="D854" t="inlineStr">
        <is>
          <t>BSA</t>
        </is>
      </c>
      <c r="E854" t="inlineStr">
        <is>
          <t>당월</t>
        </is>
      </c>
      <c r="F854" t="inlineStr">
        <is>
          <t>2월 2주차</t>
        </is>
      </c>
      <c r="G854" t="inlineStr">
        <is>
          <t>네이버</t>
        </is>
      </c>
      <c r="H854" s="16" t="n">
        <v>45333</v>
      </c>
      <c r="I854" t="inlineStr">
        <is>
          <t>PC</t>
        </is>
      </c>
      <c r="J854" t="inlineStr">
        <is>
          <t>00.브랜드검색PCMO</t>
        </is>
      </c>
      <c r="K854" t="inlineStr">
        <is>
          <t>01.PC브랜드검색</t>
        </is>
      </c>
      <c r="M854" t="n">
        <v>0</v>
      </c>
      <c r="N854" t="n">
        <v>0</v>
      </c>
      <c r="O854" t="n">
        <v>36666.66666666666</v>
      </c>
      <c r="P854" t="n">
        <v>0</v>
      </c>
      <c r="Q854" t="n">
        <v>0</v>
      </c>
      <c r="R854" t="n">
        <v>0</v>
      </c>
      <c r="S854" t="n">
        <v>0</v>
      </c>
      <c r="T854" t="inlineStr">
        <is>
          <t>BSA</t>
        </is>
      </c>
      <c r="U854" t="inlineStr">
        <is>
          <t>BSA</t>
        </is>
      </c>
    </row>
    <row r="855">
      <c r="C855" t="inlineStr">
        <is>
          <t>BSA</t>
        </is>
      </c>
      <c r="D855" t="inlineStr">
        <is>
          <t>BSA</t>
        </is>
      </c>
      <c r="E855" t="inlineStr">
        <is>
          <t>당월</t>
        </is>
      </c>
      <c r="F855" t="inlineStr">
        <is>
          <t>2월 2주차</t>
        </is>
      </c>
      <c r="G855" t="inlineStr">
        <is>
          <t>네이버</t>
        </is>
      </c>
      <c r="H855" s="16" t="n">
        <v>45333</v>
      </c>
      <c r="I855" t="inlineStr">
        <is>
          <t>MO</t>
        </is>
      </c>
      <c r="J855" t="inlineStr">
        <is>
          <t>00.브랜드검색PCMO</t>
        </is>
      </c>
      <c r="K855" t="inlineStr">
        <is>
          <t>01.MO브랜드검색</t>
        </is>
      </c>
      <c r="M855" t="n">
        <v>0</v>
      </c>
      <c r="N855" t="n">
        <v>0</v>
      </c>
      <c r="O855" t="n">
        <v>51333.33333333334</v>
      </c>
      <c r="P855" t="n">
        <v>0</v>
      </c>
      <c r="Q855" t="n">
        <v>0</v>
      </c>
      <c r="R855" t="n">
        <v>0</v>
      </c>
      <c r="S855" t="n">
        <v>0</v>
      </c>
      <c r="T855" t="inlineStr">
        <is>
          <t>BSA</t>
        </is>
      </c>
      <c r="U855" t="inlineStr">
        <is>
          <t>BSA</t>
        </is>
      </c>
    </row>
    <row r="859">
      <c r="C859" t="inlineStr">
        <is>
          <t>BSA</t>
        </is>
      </c>
      <c r="D859" t="inlineStr">
        <is>
          <t>BSA</t>
        </is>
      </c>
      <c r="E859" t="inlineStr">
        <is>
          <t>당월</t>
        </is>
      </c>
      <c r="F859" t="inlineStr">
        <is>
          <t>11월 3주차</t>
        </is>
      </c>
      <c r="G859" t="inlineStr">
        <is>
          <t>네이버</t>
        </is>
      </c>
      <c r="H859" s="16" t="n">
        <v>45615</v>
      </c>
      <c r="I859" t="inlineStr">
        <is>
          <t>PC</t>
        </is>
      </c>
      <c r="J859" t="inlineStr">
        <is>
          <t>00.브랜드검색PCMO</t>
        </is>
      </c>
      <c r="K859" t="inlineStr">
        <is>
          <t>00_브랜드검색PC</t>
        </is>
      </c>
      <c r="M859" t="n">
        <v>0</v>
      </c>
      <c r="N859" t="n">
        <v>0</v>
      </c>
      <c r="O859">
        <f>1892000/48</f>
        <v/>
      </c>
      <c r="P859" t="n">
        <v>0</v>
      </c>
      <c r="Q859" t="n">
        <v>0</v>
      </c>
      <c r="R859" t="n">
        <v>0</v>
      </c>
      <c r="S859" t="n">
        <v>0</v>
      </c>
      <c r="T859" t="inlineStr">
        <is>
          <t>BSA</t>
        </is>
      </c>
      <c r="U859" t="inlineStr">
        <is>
          <t>BSA</t>
        </is>
      </c>
      <c r="X859" s="3" t="n"/>
    </row>
    <row r="860">
      <c r="C860" t="inlineStr">
        <is>
          <t>BSA</t>
        </is>
      </c>
      <c r="D860" t="inlineStr">
        <is>
          <t>BSA</t>
        </is>
      </c>
      <c r="E860" t="inlineStr">
        <is>
          <t>당월</t>
        </is>
      </c>
      <c r="F860" t="inlineStr">
        <is>
          <t>11월 3주차</t>
        </is>
      </c>
      <c r="G860" t="inlineStr">
        <is>
          <t>네이버</t>
        </is>
      </c>
      <c r="H860" s="16" t="n">
        <v>45615</v>
      </c>
      <c r="I860" t="inlineStr">
        <is>
          <t>MO</t>
        </is>
      </c>
      <c r="J860" t="inlineStr">
        <is>
          <t>00.브랜드검색PCMO</t>
        </is>
      </c>
      <c r="K860" t="inlineStr">
        <is>
          <t>00_브랜드검색MO</t>
        </is>
      </c>
      <c r="M860" t="n">
        <v>0</v>
      </c>
      <c r="N860" t="n">
        <v>0</v>
      </c>
      <c r="O860">
        <f>1892000/48</f>
        <v/>
      </c>
      <c r="P860" t="n">
        <v>0</v>
      </c>
      <c r="Q860" t="n">
        <v>0</v>
      </c>
      <c r="R860" t="n">
        <v>0</v>
      </c>
      <c r="S860" t="n">
        <v>0</v>
      </c>
      <c r="T860" t="inlineStr">
        <is>
          <t>BSA</t>
        </is>
      </c>
      <c r="U860" t="inlineStr">
        <is>
          <t>BSA</t>
        </is>
      </c>
      <c r="X860" s="3" t="n"/>
    </row>
    <row r="861">
      <c r="C861" t="inlineStr">
        <is>
          <t>BSA</t>
        </is>
      </c>
      <c r="D861" t="inlineStr">
        <is>
          <t>BSA</t>
        </is>
      </c>
      <c r="E861" t="inlineStr">
        <is>
          <t>당월</t>
        </is>
      </c>
      <c r="F861" t="inlineStr">
        <is>
          <t>11월 3주차</t>
        </is>
      </c>
      <c r="G861" t="inlineStr">
        <is>
          <t>네이버</t>
        </is>
      </c>
      <c r="H861" s="16" t="n">
        <v>45616</v>
      </c>
      <c r="I861" t="inlineStr">
        <is>
          <t>PC</t>
        </is>
      </c>
      <c r="J861" t="inlineStr">
        <is>
          <t>00.브랜드검색PCMO</t>
        </is>
      </c>
      <c r="K861" t="inlineStr">
        <is>
          <t>00_브랜드검색PC</t>
        </is>
      </c>
      <c r="M861" t="n">
        <v>0</v>
      </c>
      <c r="N861" t="n">
        <v>0</v>
      </c>
      <c r="O861">
        <f>1892000/48</f>
        <v/>
      </c>
      <c r="P861" t="n">
        <v>0</v>
      </c>
      <c r="Q861" t="n">
        <v>0</v>
      </c>
      <c r="R861" t="n">
        <v>0</v>
      </c>
      <c r="S861" t="n">
        <v>0</v>
      </c>
      <c r="T861" t="inlineStr">
        <is>
          <t>BSA</t>
        </is>
      </c>
      <c r="U861" t="inlineStr">
        <is>
          <t>BSA</t>
        </is>
      </c>
    </row>
    <row r="862">
      <c r="C862" t="inlineStr">
        <is>
          <t>BSA</t>
        </is>
      </c>
      <c r="D862" t="inlineStr">
        <is>
          <t>BSA</t>
        </is>
      </c>
      <c r="E862" t="inlineStr">
        <is>
          <t>당월</t>
        </is>
      </c>
      <c r="F862" t="inlineStr">
        <is>
          <t>11월 3주차</t>
        </is>
      </c>
      <c r="G862" t="inlineStr">
        <is>
          <t>네이버</t>
        </is>
      </c>
      <c r="H862" s="16" t="n">
        <v>45616</v>
      </c>
      <c r="I862" t="inlineStr">
        <is>
          <t>MO</t>
        </is>
      </c>
      <c r="J862" t="inlineStr">
        <is>
          <t>00.브랜드검색PCMO</t>
        </is>
      </c>
      <c r="K862" t="inlineStr">
        <is>
          <t>00_브랜드검색MO</t>
        </is>
      </c>
      <c r="M862" t="n">
        <v>0</v>
      </c>
      <c r="N862" t="n">
        <v>0</v>
      </c>
      <c r="O862">
        <f>1892000/48</f>
        <v/>
      </c>
      <c r="P862" t="n">
        <v>0</v>
      </c>
      <c r="Q862" t="n">
        <v>0</v>
      </c>
      <c r="R862" t="n">
        <v>0</v>
      </c>
      <c r="S862" t="n">
        <v>0</v>
      </c>
      <c r="T862" t="inlineStr">
        <is>
          <t>BSA</t>
        </is>
      </c>
      <c r="U862" t="inlineStr">
        <is>
          <t>BSA</t>
        </is>
      </c>
    </row>
    <row r="863">
      <c r="C863" t="inlineStr">
        <is>
          <t>BSA</t>
        </is>
      </c>
      <c r="D863" t="inlineStr">
        <is>
          <t>BSA</t>
        </is>
      </c>
      <c r="E863" t="inlineStr">
        <is>
          <t>당월</t>
        </is>
      </c>
      <c r="F863" t="inlineStr">
        <is>
          <t>11월 3주차</t>
        </is>
      </c>
      <c r="G863" t="inlineStr">
        <is>
          <t>네이버</t>
        </is>
      </c>
      <c r="H863" s="16" t="n">
        <v>45617</v>
      </c>
      <c r="I863" t="inlineStr">
        <is>
          <t>MO</t>
        </is>
      </c>
      <c r="J863" t="inlineStr">
        <is>
          <t>00.브랜드검색PCMO</t>
        </is>
      </c>
      <c r="K863" t="inlineStr">
        <is>
          <t>00_브랜드검색MO</t>
        </is>
      </c>
      <c r="M863" t="n">
        <v>0</v>
      </c>
      <c r="N863" t="n">
        <v>0</v>
      </c>
      <c r="O863">
        <f>1892000/48</f>
        <v/>
      </c>
      <c r="P863" t="n">
        <v>0</v>
      </c>
      <c r="Q863" t="n">
        <v>0</v>
      </c>
      <c r="R863" t="n">
        <v>0</v>
      </c>
      <c r="S863" t="n">
        <v>0</v>
      </c>
      <c r="T863" t="inlineStr">
        <is>
          <t>BSA</t>
        </is>
      </c>
      <c r="U863" t="inlineStr">
        <is>
          <t>BSA</t>
        </is>
      </c>
    </row>
    <row r="864">
      <c r="C864" t="inlineStr">
        <is>
          <t>BSA</t>
        </is>
      </c>
      <c r="D864" t="inlineStr">
        <is>
          <t>BSA</t>
        </is>
      </c>
      <c r="E864" t="inlineStr">
        <is>
          <t>당월</t>
        </is>
      </c>
      <c r="F864" t="inlineStr">
        <is>
          <t>11월 3주차</t>
        </is>
      </c>
      <c r="G864" t="inlineStr">
        <is>
          <t>네이버</t>
        </is>
      </c>
      <c r="H864" s="16" t="n">
        <v>45617</v>
      </c>
      <c r="I864" t="inlineStr">
        <is>
          <t>MO</t>
        </is>
      </c>
      <c r="J864" t="inlineStr">
        <is>
          <t>00.브랜드검색PCMO</t>
        </is>
      </c>
      <c r="K864" t="inlineStr">
        <is>
          <t>00_브랜드검색MO</t>
        </is>
      </c>
      <c r="M864" t="n">
        <v>0</v>
      </c>
      <c r="N864" t="n">
        <v>0</v>
      </c>
      <c r="O864">
        <f>1892000/48</f>
        <v/>
      </c>
      <c r="P864" t="n">
        <v>0</v>
      </c>
      <c r="Q864" t="n">
        <v>0</v>
      </c>
      <c r="R864" t="n">
        <v>0</v>
      </c>
      <c r="S864" t="n">
        <v>0</v>
      </c>
      <c r="T864" t="inlineStr">
        <is>
          <t>BSA</t>
        </is>
      </c>
      <c r="U864" t="inlineStr">
        <is>
          <t>BSA</t>
        </is>
      </c>
    </row>
    <row r="865">
      <c r="C865" t="inlineStr">
        <is>
          <t>BSA</t>
        </is>
      </c>
      <c r="D865" t="inlineStr">
        <is>
          <t>BSA</t>
        </is>
      </c>
      <c r="E865" t="inlineStr">
        <is>
          <t>당월</t>
        </is>
      </c>
      <c r="F865" t="inlineStr">
        <is>
          <t>11월 3주차</t>
        </is>
      </c>
      <c r="G865" t="inlineStr">
        <is>
          <t>네이버</t>
        </is>
      </c>
      <c r="H865" s="16" t="n">
        <v>45618</v>
      </c>
      <c r="I865" t="inlineStr">
        <is>
          <t>MO</t>
        </is>
      </c>
      <c r="J865" t="inlineStr">
        <is>
          <t>00.브랜드검색PCMO</t>
        </is>
      </c>
      <c r="K865" t="inlineStr">
        <is>
          <t>00_브랜드검색MO</t>
        </is>
      </c>
      <c r="M865" t="n">
        <v>0</v>
      </c>
      <c r="N865" t="n">
        <v>0</v>
      </c>
      <c r="O865">
        <f>1892000/48</f>
        <v/>
      </c>
      <c r="P865" t="n">
        <v>0</v>
      </c>
      <c r="Q865" t="n">
        <v>0</v>
      </c>
      <c r="R865" t="n">
        <v>0</v>
      </c>
      <c r="S865" t="n">
        <v>0</v>
      </c>
      <c r="T865" t="inlineStr">
        <is>
          <t>BSA</t>
        </is>
      </c>
      <c r="U865" t="inlineStr">
        <is>
          <t>BSA</t>
        </is>
      </c>
    </row>
    <row r="866">
      <c r="C866" t="inlineStr">
        <is>
          <t>BSA</t>
        </is>
      </c>
      <c r="D866" t="inlineStr">
        <is>
          <t>BSA</t>
        </is>
      </c>
      <c r="E866" t="inlineStr">
        <is>
          <t>당월</t>
        </is>
      </c>
      <c r="F866" t="inlineStr">
        <is>
          <t>11월 3주차</t>
        </is>
      </c>
      <c r="G866" t="inlineStr">
        <is>
          <t>네이버</t>
        </is>
      </c>
      <c r="H866" s="16" t="n">
        <v>45618</v>
      </c>
      <c r="I866" t="inlineStr">
        <is>
          <t>MO</t>
        </is>
      </c>
      <c r="J866" t="inlineStr">
        <is>
          <t>00.브랜드검색PCMO</t>
        </is>
      </c>
      <c r="K866" t="inlineStr">
        <is>
          <t>00_브랜드검색MO</t>
        </is>
      </c>
      <c r="M866" t="n">
        <v>0</v>
      </c>
      <c r="N866" t="n">
        <v>0</v>
      </c>
      <c r="O866">
        <f>1892000/48</f>
        <v/>
      </c>
      <c r="P866" t="n">
        <v>0</v>
      </c>
      <c r="Q866" t="n">
        <v>0</v>
      </c>
      <c r="R866" t="n">
        <v>0</v>
      </c>
      <c r="S866" t="n">
        <v>0</v>
      </c>
      <c r="T866" t="inlineStr">
        <is>
          <t>BSA</t>
        </is>
      </c>
      <c r="U866" t="inlineStr">
        <is>
          <t>BSA</t>
        </is>
      </c>
    </row>
    <row r="867">
      <c r="C867" t="inlineStr">
        <is>
          <t>BSA</t>
        </is>
      </c>
      <c r="D867" t="inlineStr">
        <is>
          <t>BSA</t>
        </is>
      </c>
      <c r="E867" t="inlineStr">
        <is>
          <t>당월</t>
        </is>
      </c>
      <c r="F867" t="inlineStr">
        <is>
          <t>11월 3주차</t>
        </is>
      </c>
      <c r="G867" t="inlineStr">
        <is>
          <t>네이버</t>
        </is>
      </c>
      <c r="H867" s="16" t="n">
        <v>45619</v>
      </c>
      <c r="I867" t="inlineStr">
        <is>
          <t>MO</t>
        </is>
      </c>
      <c r="J867" t="inlineStr">
        <is>
          <t>00.브랜드검색PCMO</t>
        </is>
      </c>
      <c r="K867" t="inlineStr">
        <is>
          <t>00_브랜드검색MO</t>
        </is>
      </c>
      <c r="M867" t="n">
        <v>0</v>
      </c>
      <c r="N867" t="n">
        <v>0</v>
      </c>
      <c r="O867">
        <f>1892000/48</f>
        <v/>
      </c>
      <c r="P867" t="n">
        <v>0</v>
      </c>
      <c r="Q867" t="n">
        <v>0</v>
      </c>
      <c r="R867" t="n">
        <v>0</v>
      </c>
      <c r="S867" t="n">
        <v>0</v>
      </c>
      <c r="T867" t="inlineStr">
        <is>
          <t>BSA</t>
        </is>
      </c>
      <c r="U867" t="inlineStr">
        <is>
          <t>BSA</t>
        </is>
      </c>
    </row>
    <row r="868">
      <c r="C868" t="inlineStr">
        <is>
          <t>BSA</t>
        </is>
      </c>
      <c r="D868" t="inlineStr">
        <is>
          <t>BSA</t>
        </is>
      </c>
      <c r="E868" t="inlineStr">
        <is>
          <t>당월</t>
        </is>
      </c>
      <c r="F868" t="inlineStr">
        <is>
          <t>11월 3주차</t>
        </is>
      </c>
      <c r="G868" t="inlineStr">
        <is>
          <t>네이버</t>
        </is>
      </c>
      <c r="H868" s="16" t="n">
        <v>45619</v>
      </c>
      <c r="I868" t="inlineStr">
        <is>
          <t>MO</t>
        </is>
      </c>
      <c r="J868" t="inlineStr">
        <is>
          <t>00.브랜드검색PCMO</t>
        </is>
      </c>
      <c r="K868" t="inlineStr">
        <is>
          <t>00_브랜드검색MO</t>
        </is>
      </c>
      <c r="M868" t="n">
        <v>0</v>
      </c>
      <c r="N868" t="n">
        <v>0</v>
      </c>
      <c r="O868">
        <f>1892000/48</f>
        <v/>
      </c>
      <c r="P868" t="n">
        <v>0</v>
      </c>
      <c r="Q868" t="n">
        <v>0</v>
      </c>
      <c r="R868" t="n">
        <v>0</v>
      </c>
      <c r="S868" t="n">
        <v>0</v>
      </c>
      <c r="T868" t="inlineStr">
        <is>
          <t>BSA</t>
        </is>
      </c>
      <c r="U868" t="inlineStr">
        <is>
          <t>BSA</t>
        </is>
      </c>
    </row>
    <row r="869">
      <c r="C869" t="inlineStr">
        <is>
          <t>BSA</t>
        </is>
      </c>
      <c r="D869" t="inlineStr">
        <is>
          <t>BSA</t>
        </is>
      </c>
      <c r="E869" t="inlineStr">
        <is>
          <t>당월</t>
        </is>
      </c>
      <c r="F869" t="inlineStr">
        <is>
          <t>11월 3주차</t>
        </is>
      </c>
      <c r="G869" t="inlineStr">
        <is>
          <t>네이버</t>
        </is>
      </c>
      <c r="H869" s="16" t="n">
        <v>45620</v>
      </c>
      <c r="I869" t="inlineStr">
        <is>
          <t>MO</t>
        </is>
      </c>
      <c r="J869" t="inlineStr">
        <is>
          <t>00.브랜드검색PCMO</t>
        </is>
      </c>
      <c r="K869" t="inlineStr">
        <is>
          <t>00_브랜드검색MO</t>
        </is>
      </c>
      <c r="M869" t="n">
        <v>0</v>
      </c>
      <c r="N869" t="n">
        <v>0</v>
      </c>
      <c r="O869">
        <f>1892000/48</f>
        <v/>
      </c>
      <c r="P869" t="n">
        <v>0</v>
      </c>
      <c r="Q869" t="n">
        <v>0</v>
      </c>
      <c r="R869" t="n">
        <v>0</v>
      </c>
      <c r="S869" t="n">
        <v>0</v>
      </c>
      <c r="T869" t="inlineStr">
        <is>
          <t>BSA</t>
        </is>
      </c>
      <c r="U869" t="inlineStr">
        <is>
          <t>BSA</t>
        </is>
      </c>
    </row>
    <row r="870">
      <c r="C870" t="inlineStr">
        <is>
          <t>BSA</t>
        </is>
      </c>
      <c r="D870" t="inlineStr">
        <is>
          <t>BSA</t>
        </is>
      </c>
      <c r="E870" t="inlineStr">
        <is>
          <t>당월</t>
        </is>
      </c>
      <c r="F870" t="inlineStr">
        <is>
          <t>11월 3주차</t>
        </is>
      </c>
      <c r="G870" t="inlineStr">
        <is>
          <t>네이버</t>
        </is>
      </c>
      <c r="H870" s="16" t="n">
        <v>45620</v>
      </c>
      <c r="I870" t="inlineStr">
        <is>
          <t>MO</t>
        </is>
      </c>
      <c r="J870" t="inlineStr">
        <is>
          <t>00.브랜드검색PCMO</t>
        </is>
      </c>
      <c r="K870" t="inlineStr">
        <is>
          <t>00_브랜드검색MO</t>
        </is>
      </c>
      <c r="M870" t="n">
        <v>0</v>
      </c>
      <c r="N870" t="n">
        <v>0</v>
      </c>
      <c r="O870">
        <f>1892000/48</f>
        <v/>
      </c>
      <c r="P870" t="n">
        <v>0</v>
      </c>
      <c r="Q870" t="n">
        <v>0</v>
      </c>
      <c r="R870" t="n">
        <v>0</v>
      </c>
      <c r="S870" t="n">
        <v>0</v>
      </c>
      <c r="T870" t="inlineStr">
        <is>
          <t>BSA</t>
        </is>
      </c>
      <c r="U870" t="inlineStr">
        <is>
          <t>BSA</t>
        </is>
      </c>
    </row>
    <row r="872">
      <c r="C872" t="inlineStr">
        <is>
          <t>BSA</t>
        </is>
      </c>
      <c r="D872" t="inlineStr">
        <is>
          <t>BSA</t>
        </is>
      </c>
      <c r="E872" t="inlineStr">
        <is>
          <t>당월</t>
        </is>
      </c>
      <c r="F872" t="inlineStr">
        <is>
          <t>11월 4주차</t>
        </is>
      </c>
      <c r="G872" t="inlineStr">
        <is>
          <t>네이버</t>
        </is>
      </c>
      <c r="H872" s="16" t="n">
        <v>45621</v>
      </c>
      <c r="I872" t="inlineStr">
        <is>
          <t>PC</t>
        </is>
      </c>
      <c r="J872" t="inlineStr">
        <is>
          <t>00.브랜드검색PCMO</t>
        </is>
      </c>
      <c r="K872" t="inlineStr">
        <is>
          <t>00_브랜드검색PC</t>
        </is>
      </c>
      <c r="M872" t="n">
        <v>0</v>
      </c>
      <c r="N872" t="n">
        <v>0</v>
      </c>
      <c r="O872">
        <f>1892000/48</f>
        <v/>
      </c>
      <c r="P872" t="n">
        <v>0</v>
      </c>
      <c r="Q872" t="n">
        <v>0</v>
      </c>
      <c r="R872" t="n">
        <v>0</v>
      </c>
      <c r="S872" t="n">
        <v>0</v>
      </c>
      <c r="T872" t="inlineStr">
        <is>
          <t>BSA</t>
        </is>
      </c>
      <c r="U872" t="inlineStr">
        <is>
          <t>BSA</t>
        </is>
      </c>
    </row>
    <row r="873">
      <c r="C873" t="inlineStr">
        <is>
          <t>BSA</t>
        </is>
      </c>
      <c r="D873" t="inlineStr">
        <is>
          <t>BSA</t>
        </is>
      </c>
      <c r="E873" t="inlineStr">
        <is>
          <t>당월</t>
        </is>
      </c>
      <c r="F873" t="inlineStr">
        <is>
          <t>11월 4주차</t>
        </is>
      </c>
      <c r="G873" t="inlineStr">
        <is>
          <t>네이버</t>
        </is>
      </c>
      <c r="H873" s="16" t="n">
        <v>45621</v>
      </c>
      <c r="I873" t="inlineStr">
        <is>
          <t>MO</t>
        </is>
      </c>
      <c r="J873" t="inlineStr">
        <is>
          <t>00.브랜드검색PCMO</t>
        </is>
      </c>
      <c r="K873" t="inlineStr">
        <is>
          <t>00_브랜드검색MO</t>
        </is>
      </c>
      <c r="M873" t="n">
        <v>0</v>
      </c>
      <c r="N873" t="n">
        <v>0</v>
      </c>
      <c r="O873">
        <f>1892000/48</f>
        <v/>
      </c>
      <c r="P873" t="n">
        <v>0</v>
      </c>
      <c r="Q873" t="n">
        <v>0</v>
      </c>
      <c r="R873" t="n">
        <v>0</v>
      </c>
      <c r="S873" t="n">
        <v>0</v>
      </c>
      <c r="T873" t="inlineStr">
        <is>
          <t>BSA</t>
        </is>
      </c>
      <c r="U873" t="inlineStr">
        <is>
          <t>BSA</t>
        </is>
      </c>
    </row>
    <row r="874">
      <c r="C874" t="inlineStr">
        <is>
          <t>BSA</t>
        </is>
      </c>
      <c r="D874" t="inlineStr">
        <is>
          <t>BSA</t>
        </is>
      </c>
      <c r="E874" t="inlineStr">
        <is>
          <t>당월</t>
        </is>
      </c>
      <c r="F874" t="inlineStr">
        <is>
          <t>11월 4주차</t>
        </is>
      </c>
      <c r="G874" t="inlineStr">
        <is>
          <t>네이버</t>
        </is>
      </c>
      <c r="H874" s="16" t="n">
        <v>45622</v>
      </c>
      <c r="I874" t="inlineStr">
        <is>
          <t>PC</t>
        </is>
      </c>
      <c r="J874" t="inlineStr">
        <is>
          <t>00.브랜드검색PCMO</t>
        </is>
      </c>
      <c r="K874" t="inlineStr">
        <is>
          <t>00_브랜드검색PC</t>
        </is>
      </c>
      <c r="M874" t="n">
        <v>0</v>
      </c>
      <c r="N874" t="n">
        <v>0</v>
      </c>
      <c r="O874">
        <f>1892000/48</f>
        <v/>
      </c>
      <c r="P874" t="n">
        <v>0</v>
      </c>
      <c r="Q874" t="n">
        <v>0</v>
      </c>
      <c r="R874" t="n">
        <v>0</v>
      </c>
      <c r="S874" t="n">
        <v>0</v>
      </c>
      <c r="T874" t="inlineStr">
        <is>
          <t>BSA</t>
        </is>
      </c>
      <c r="U874" t="inlineStr">
        <is>
          <t>BSA</t>
        </is>
      </c>
    </row>
    <row r="875">
      <c r="C875" t="inlineStr">
        <is>
          <t>BSA</t>
        </is>
      </c>
      <c r="D875" t="inlineStr">
        <is>
          <t>BSA</t>
        </is>
      </c>
      <c r="E875" t="inlineStr">
        <is>
          <t>당월</t>
        </is>
      </c>
      <c r="F875" t="inlineStr">
        <is>
          <t>11월 4주차</t>
        </is>
      </c>
      <c r="G875" t="inlineStr">
        <is>
          <t>네이버</t>
        </is>
      </c>
      <c r="H875" s="16" t="n">
        <v>45622</v>
      </c>
      <c r="I875" t="inlineStr">
        <is>
          <t>MO</t>
        </is>
      </c>
      <c r="J875" t="inlineStr">
        <is>
          <t>00.브랜드검색PCMO</t>
        </is>
      </c>
      <c r="K875" t="inlineStr">
        <is>
          <t>00_브랜드검색MO</t>
        </is>
      </c>
      <c r="M875" t="n">
        <v>0</v>
      </c>
      <c r="N875" t="n">
        <v>0</v>
      </c>
      <c r="O875">
        <f>1892000/48</f>
        <v/>
      </c>
      <c r="P875" t="n">
        <v>0</v>
      </c>
      <c r="Q875" t="n">
        <v>0</v>
      </c>
      <c r="R875" t="n">
        <v>0</v>
      </c>
      <c r="S875" t="n">
        <v>0</v>
      </c>
      <c r="T875" t="inlineStr">
        <is>
          <t>BSA</t>
        </is>
      </c>
      <c r="U875" t="inlineStr">
        <is>
          <t>BSA</t>
        </is>
      </c>
    </row>
    <row r="876">
      <c r="C876" t="inlineStr">
        <is>
          <t>BSA</t>
        </is>
      </c>
      <c r="D876" t="inlineStr">
        <is>
          <t>BSA</t>
        </is>
      </c>
      <c r="E876" t="inlineStr">
        <is>
          <t>당월</t>
        </is>
      </c>
      <c r="F876" t="inlineStr">
        <is>
          <t>11월 4주차</t>
        </is>
      </c>
      <c r="G876" t="inlineStr">
        <is>
          <t>네이버</t>
        </is>
      </c>
      <c r="H876" s="16" t="n">
        <v>45623</v>
      </c>
      <c r="I876" t="inlineStr">
        <is>
          <t>MO</t>
        </is>
      </c>
      <c r="J876" t="inlineStr">
        <is>
          <t>00.브랜드검색PCMO</t>
        </is>
      </c>
      <c r="K876" t="inlineStr">
        <is>
          <t>00_브랜드검색MO</t>
        </is>
      </c>
      <c r="M876" t="n">
        <v>0</v>
      </c>
      <c r="N876" t="n">
        <v>0</v>
      </c>
      <c r="O876">
        <f>1892000/48</f>
        <v/>
      </c>
      <c r="P876" t="n">
        <v>0</v>
      </c>
      <c r="Q876" t="n">
        <v>0</v>
      </c>
      <c r="R876" t="n">
        <v>0</v>
      </c>
      <c r="S876" t="n">
        <v>0</v>
      </c>
      <c r="T876" t="inlineStr">
        <is>
          <t>BSA</t>
        </is>
      </c>
      <c r="U876" t="inlineStr">
        <is>
          <t>BSA</t>
        </is>
      </c>
    </row>
    <row r="877">
      <c r="C877" t="inlineStr">
        <is>
          <t>BSA</t>
        </is>
      </c>
      <c r="D877" t="inlineStr">
        <is>
          <t>BSA</t>
        </is>
      </c>
      <c r="E877" t="inlineStr">
        <is>
          <t>당월</t>
        </is>
      </c>
      <c r="F877" t="inlineStr">
        <is>
          <t>11월 4주차</t>
        </is>
      </c>
      <c r="G877" t="inlineStr">
        <is>
          <t>네이버</t>
        </is>
      </c>
      <c r="H877" s="16" t="n">
        <v>45623</v>
      </c>
      <c r="I877" t="inlineStr">
        <is>
          <t>MO</t>
        </is>
      </c>
      <c r="J877" t="inlineStr">
        <is>
          <t>00.브랜드검색PCMO</t>
        </is>
      </c>
      <c r="K877" t="inlineStr">
        <is>
          <t>00_브랜드검색MO</t>
        </is>
      </c>
      <c r="M877" t="n">
        <v>0</v>
      </c>
      <c r="N877" t="n">
        <v>0</v>
      </c>
      <c r="O877">
        <f>1892000/48</f>
        <v/>
      </c>
      <c r="P877" t="n">
        <v>0</v>
      </c>
      <c r="Q877" t="n">
        <v>0</v>
      </c>
      <c r="R877" t="n">
        <v>0</v>
      </c>
      <c r="S877" t="n">
        <v>0</v>
      </c>
      <c r="T877" t="inlineStr">
        <is>
          <t>BSA</t>
        </is>
      </c>
      <c r="U877" t="inlineStr">
        <is>
          <t>BSA</t>
        </is>
      </c>
    </row>
    <row r="878">
      <c r="C878" t="inlineStr">
        <is>
          <t>BSA</t>
        </is>
      </c>
      <c r="D878" t="inlineStr">
        <is>
          <t>BSA</t>
        </is>
      </c>
      <c r="E878" t="inlineStr">
        <is>
          <t>당월</t>
        </is>
      </c>
      <c r="F878" t="inlineStr">
        <is>
          <t>11월 4주차</t>
        </is>
      </c>
      <c r="G878" t="inlineStr">
        <is>
          <t>네이버</t>
        </is>
      </c>
      <c r="H878" s="16" t="n">
        <v>45624</v>
      </c>
      <c r="I878" t="inlineStr">
        <is>
          <t>MO</t>
        </is>
      </c>
      <c r="J878" t="inlineStr">
        <is>
          <t>00.브랜드검색PCMO</t>
        </is>
      </c>
      <c r="K878" t="inlineStr">
        <is>
          <t>00_브랜드검색MO</t>
        </is>
      </c>
      <c r="M878" t="n">
        <v>0</v>
      </c>
      <c r="N878" t="n">
        <v>0</v>
      </c>
      <c r="O878">
        <f>1892000/48</f>
        <v/>
      </c>
      <c r="P878" t="n">
        <v>0</v>
      </c>
      <c r="Q878" t="n">
        <v>0</v>
      </c>
      <c r="R878" t="n">
        <v>0</v>
      </c>
      <c r="S878" t="n">
        <v>0</v>
      </c>
      <c r="T878" t="inlineStr">
        <is>
          <t>BSA</t>
        </is>
      </c>
      <c r="U878" t="inlineStr">
        <is>
          <t>BSA</t>
        </is>
      </c>
    </row>
    <row r="879">
      <c r="C879" t="inlineStr">
        <is>
          <t>BSA</t>
        </is>
      </c>
      <c r="D879" t="inlineStr">
        <is>
          <t>BSA</t>
        </is>
      </c>
      <c r="E879" t="inlineStr">
        <is>
          <t>당월</t>
        </is>
      </c>
      <c r="F879" t="inlineStr">
        <is>
          <t>11월 4주차</t>
        </is>
      </c>
      <c r="G879" t="inlineStr">
        <is>
          <t>네이버</t>
        </is>
      </c>
      <c r="H879" s="16" t="n">
        <v>45624</v>
      </c>
      <c r="I879" t="inlineStr">
        <is>
          <t>MO</t>
        </is>
      </c>
      <c r="J879" t="inlineStr">
        <is>
          <t>00.브랜드검색PCMO</t>
        </is>
      </c>
      <c r="K879" t="inlineStr">
        <is>
          <t>00_브랜드검색MO</t>
        </is>
      </c>
      <c r="M879" t="n">
        <v>0</v>
      </c>
      <c r="N879" t="n">
        <v>0</v>
      </c>
      <c r="O879">
        <f>1892000/48</f>
        <v/>
      </c>
      <c r="P879" t="n">
        <v>0</v>
      </c>
      <c r="Q879" t="n">
        <v>0</v>
      </c>
      <c r="R879" t="n">
        <v>0</v>
      </c>
      <c r="S879" t="n">
        <v>0</v>
      </c>
      <c r="T879" t="inlineStr">
        <is>
          <t>BSA</t>
        </is>
      </c>
      <c r="U879" t="inlineStr">
        <is>
          <t>BSA</t>
        </is>
      </c>
    </row>
    <row r="880">
      <c r="C880" t="inlineStr">
        <is>
          <t>BSA</t>
        </is>
      </c>
      <c r="D880" t="inlineStr">
        <is>
          <t>BSA</t>
        </is>
      </c>
      <c r="E880" t="inlineStr">
        <is>
          <t>당월</t>
        </is>
      </c>
      <c r="F880" t="inlineStr">
        <is>
          <t>11월 4주차</t>
        </is>
      </c>
      <c r="G880" t="inlineStr">
        <is>
          <t>네이버</t>
        </is>
      </c>
      <c r="H880" s="16" t="n">
        <v>45625</v>
      </c>
      <c r="I880" t="inlineStr">
        <is>
          <t>MO</t>
        </is>
      </c>
      <c r="J880" t="inlineStr">
        <is>
          <t>00.브랜드검색PCMO</t>
        </is>
      </c>
      <c r="K880" t="inlineStr">
        <is>
          <t>00_브랜드검색MO</t>
        </is>
      </c>
      <c r="M880" t="n">
        <v>0</v>
      </c>
      <c r="N880" t="n">
        <v>0</v>
      </c>
      <c r="O880">
        <f>1892000/48</f>
        <v/>
      </c>
      <c r="P880" t="n">
        <v>0</v>
      </c>
      <c r="Q880" t="n">
        <v>0</v>
      </c>
      <c r="R880" t="n">
        <v>0</v>
      </c>
      <c r="S880" t="n">
        <v>0</v>
      </c>
      <c r="T880" t="inlineStr">
        <is>
          <t>BSA</t>
        </is>
      </c>
      <c r="U880" t="inlineStr">
        <is>
          <t>BSA</t>
        </is>
      </c>
    </row>
    <row r="881">
      <c r="C881" t="inlineStr">
        <is>
          <t>BSA</t>
        </is>
      </c>
      <c r="D881" t="inlineStr">
        <is>
          <t>BSA</t>
        </is>
      </c>
      <c r="E881" t="inlineStr">
        <is>
          <t>당월</t>
        </is>
      </c>
      <c r="F881" t="inlineStr">
        <is>
          <t>11월 4주차</t>
        </is>
      </c>
      <c r="G881" t="inlineStr">
        <is>
          <t>네이버</t>
        </is>
      </c>
      <c r="H881" s="16" t="n">
        <v>45625</v>
      </c>
      <c r="I881" t="inlineStr">
        <is>
          <t>MO</t>
        </is>
      </c>
      <c r="J881" t="inlineStr">
        <is>
          <t>00.브랜드검색PCMO</t>
        </is>
      </c>
      <c r="K881" t="inlineStr">
        <is>
          <t>00_브랜드검색MO</t>
        </is>
      </c>
      <c r="M881" t="n">
        <v>0</v>
      </c>
      <c r="N881" t="n">
        <v>0</v>
      </c>
      <c r="O881">
        <f>1892000/48</f>
        <v/>
      </c>
      <c r="P881" t="n">
        <v>0</v>
      </c>
      <c r="Q881" t="n">
        <v>0</v>
      </c>
      <c r="R881" t="n">
        <v>0</v>
      </c>
      <c r="S881" t="n">
        <v>0</v>
      </c>
      <c r="T881" t="inlineStr">
        <is>
          <t>BSA</t>
        </is>
      </c>
      <c r="U881" t="inlineStr">
        <is>
          <t>BSA</t>
        </is>
      </c>
    </row>
    <row r="882">
      <c r="C882" t="inlineStr">
        <is>
          <t>BSA</t>
        </is>
      </c>
      <c r="D882" t="inlineStr">
        <is>
          <t>BSA</t>
        </is>
      </c>
      <c r="E882" t="inlineStr">
        <is>
          <t>당월</t>
        </is>
      </c>
      <c r="F882" t="inlineStr">
        <is>
          <t>11월 4주차</t>
        </is>
      </c>
      <c r="G882" t="inlineStr">
        <is>
          <t>네이버</t>
        </is>
      </c>
      <c r="H882" s="16" t="n">
        <v>45626</v>
      </c>
      <c r="I882" t="inlineStr">
        <is>
          <t>MO</t>
        </is>
      </c>
      <c r="J882" t="inlineStr">
        <is>
          <t>00.브랜드검색PCMO</t>
        </is>
      </c>
      <c r="K882" t="inlineStr">
        <is>
          <t>00_브랜드검색MO</t>
        </is>
      </c>
      <c r="M882" t="n">
        <v>0</v>
      </c>
      <c r="N882" t="n">
        <v>0</v>
      </c>
      <c r="O882">
        <f>1892000/48</f>
        <v/>
      </c>
      <c r="P882" t="n">
        <v>0</v>
      </c>
      <c r="Q882" t="n">
        <v>0</v>
      </c>
      <c r="R882" t="n">
        <v>0</v>
      </c>
      <c r="S882" t="n">
        <v>0</v>
      </c>
      <c r="T882" t="inlineStr">
        <is>
          <t>BSA</t>
        </is>
      </c>
      <c r="U882" t="inlineStr">
        <is>
          <t>BSA</t>
        </is>
      </c>
    </row>
    <row r="883">
      <c r="C883" t="inlineStr">
        <is>
          <t>BSA</t>
        </is>
      </c>
      <c r="D883" t="inlineStr">
        <is>
          <t>BSA</t>
        </is>
      </c>
      <c r="E883" t="inlineStr">
        <is>
          <t>당월</t>
        </is>
      </c>
      <c r="F883" t="inlineStr">
        <is>
          <t>11월 4주차</t>
        </is>
      </c>
      <c r="G883" t="inlineStr">
        <is>
          <t>네이버</t>
        </is>
      </c>
      <c r="H883" s="16" t="n">
        <v>45626</v>
      </c>
      <c r="I883" t="inlineStr">
        <is>
          <t>MO</t>
        </is>
      </c>
      <c r="J883" t="inlineStr">
        <is>
          <t>00.브랜드검색PCMO</t>
        </is>
      </c>
      <c r="K883" t="inlineStr">
        <is>
          <t>00_브랜드검색MO</t>
        </is>
      </c>
      <c r="M883" t="n">
        <v>0</v>
      </c>
      <c r="N883" t="n">
        <v>0</v>
      </c>
      <c r="O883">
        <f>1892000/48</f>
        <v/>
      </c>
      <c r="P883" t="n">
        <v>0</v>
      </c>
      <c r="Q883" t="n">
        <v>0</v>
      </c>
      <c r="R883" t="n">
        <v>0</v>
      </c>
      <c r="S883" t="n">
        <v>0</v>
      </c>
      <c r="T883" t="inlineStr">
        <is>
          <t>BSA</t>
        </is>
      </c>
      <c r="U883" t="inlineStr">
        <is>
          <t>BSA</t>
        </is>
      </c>
    </row>
    <row r="884">
      <c r="C884" t="inlineStr">
        <is>
          <t>BSA</t>
        </is>
      </c>
      <c r="D884" t="inlineStr">
        <is>
          <t>BSA</t>
        </is>
      </c>
      <c r="E884" t="inlineStr">
        <is>
          <t>당월</t>
        </is>
      </c>
      <c r="F884" t="inlineStr">
        <is>
          <t>11월 4주차</t>
        </is>
      </c>
      <c r="G884" t="inlineStr">
        <is>
          <t>네이버</t>
        </is>
      </c>
      <c r="H884" s="16" t="n">
        <v>45627</v>
      </c>
      <c r="I884" t="inlineStr">
        <is>
          <t>MO</t>
        </is>
      </c>
      <c r="J884" t="inlineStr">
        <is>
          <t>00.브랜드검색PCMO</t>
        </is>
      </c>
      <c r="K884" t="inlineStr">
        <is>
          <t>00_브랜드검색MO</t>
        </is>
      </c>
      <c r="M884" t="n">
        <v>0</v>
      </c>
      <c r="N884" t="n">
        <v>0</v>
      </c>
      <c r="O884">
        <f>1892000/48</f>
        <v/>
      </c>
      <c r="P884" t="n">
        <v>0</v>
      </c>
      <c r="Q884" t="n">
        <v>0</v>
      </c>
      <c r="R884" t="n">
        <v>0</v>
      </c>
      <c r="S884" t="n">
        <v>0</v>
      </c>
      <c r="T884" t="inlineStr">
        <is>
          <t>BSA</t>
        </is>
      </c>
      <c r="U884" t="inlineStr">
        <is>
          <t>BSA</t>
        </is>
      </c>
    </row>
    <row r="885">
      <c r="C885" t="inlineStr">
        <is>
          <t>BSA</t>
        </is>
      </c>
      <c r="D885" t="inlineStr">
        <is>
          <t>BSA</t>
        </is>
      </c>
      <c r="E885" t="inlineStr">
        <is>
          <t>당월</t>
        </is>
      </c>
      <c r="F885" t="inlineStr">
        <is>
          <t>11월 4주차</t>
        </is>
      </c>
      <c r="G885" t="inlineStr">
        <is>
          <t>네이버</t>
        </is>
      </c>
      <c r="H885" s="16" t="n">
        <v>45627</v>
      </c>
      <c r="I885" t="inlineStr">
        <is>
          <t>MO</t>
        </is>
      </c>
      <c r="J885" t="inlineStr">
        <is>
          <t>00.브랜드검색PCMO</t>
        </is>
      </c>
      <c r="K885" t="inlineStr">
        <is>
          <t>00_브랜드검색MO</t>
        </is>
      </c>
      <c r="M885" t="n">
        <v>0</v>
      </c>
      <c r="N885" t="n">
        <v>0</v>
      </c>
      <c r="O885">
        <f>1892000/48</f>
        <v/>
      </c>
      <c r="P885" t="n">
        <v>0</v>
      </c>
      <c r="Q885" t="n">
        <v>0</v>
      </c>
      <c r="R885" t="n">
        <v>0</v>
      </c>
      <c r="S885" t="n">
        <v>0</v>
      </c>
      <c r="T885" t="inlineStr">
        <is>
          <t>BSA</t>
        </is>
      </c>
      <c r="U885" t="inlineStr">
        <is>
          <t>BSA</t>
        </is>
      </c>
    </row>
    <row r="887">
      <c r="C887" t="inlineStr">
        <is>
          <t>BSA</t>
        </is>
      </c>
      <c r="D887" t="inlineStr">
        <is>
          <t>BSA</t>
        </is>
      </c>
      <c r="E887" t="inlineStr">
        <is>
          <t>당월</t>
        </is>
      </c>
      <c r="F887" t="inlineStr">
        <is>
          <t>12월 1주차</t>
        </is>
      </c>
      <c r="G887" t="inlineStr">
        <is>
          <t>네이버</t>
        </is>
      </c>
      <c r="H887" s="16" t="n">
        <v>45628</v>
      </c>
      <c r="I887" t="inlineStr">
        <is>
          <t>PC</t>
        </is>
      </c>
      <c r="J887" t="inlineStr">
        <is>
          <t>00.브랜드검색PCMO</t>
        </is>
      </c>
      <c r="K887" t="inlineStr">
        <is>
          <t>00_브랜드검색PC</t>
        </is>
      </c>
      <c r="M887" t="n">
        <v>0</v>
      </c>
      <c r="N887" t="n">
        <v>0</v>
      </c>
      <c r="O887">
        <f>1892000/48</f>
        <v/>
      </c>
      <c r="P887" t="n">
        <v>0</v>
      </c>
      <c r="Q887" t="n">
        <v>0</v>
      </c>
      <c r="R887" t="n">
        <v>0</v>
      </c>
      <c r="S887" t="n">
        <v>0</v>
      </c>
      <c r="T887" t="inlineStr">
        <is>
          <t>BSA</t>
        </is>
      </c>
      <c r="U887" t="inlineStr">
        <is>
          <t>BSA</t>
        </is>
      </c>
    </row>
    <row r="888">
      <c r="C888" t="inlineStr">
        <is>
          <t>BSA</t>
        </is>
      </c>
      <c r="D888" t="inlineStr">
        <is>
          <t>BSA</t>
        </is>
      </c>
      <c r="E888" t="inlineStr">
        <is>
          <t>당월</t>
        </is>
      </c>
      <c r="F888" t="inlineStr">
        <is>
          <t>12월 1주차</t>
        </is>
      </c>
      <c r="G888" t="inlineStr">
        <is>
          <t>네이버</t>
        </is>
      </c>
      <c r="H888" s="16" t="n">
        <v>45628</v>
      </c>
      <c r="I888" t="inlineStr">
        <is>
          <t>MO</t>
        </is>
      </c>
      <c r="J888" t="inlineStr">
        <is>
          <t>00.브랜드검색PCMO</t>
        </is>
      </c>
      <c r="K888" t="inlineStr">
        <is>
          <t>00_브랜드검색MO</t>
        </is>
      </c>
      <c r="M888" t="n">
        <v>0</v>
      </c>
      <c r="N888" t="n">
        <v>0</v>
      </c>
      <c r="O888">
        <f>1892000/48</f>
        <v/>
      </c>
      <c r="P888" t="n">
        <v>0</v>
      </c>
      <c r="Q888" t="n">
        <v>0</v>
      </c>
      <c r="R888" t="n">
        <v>0</v>
      </c>
      <c r="S888" t="n">
        <v>0</v>
      </c>
      <c r="T888" t="inlineStr">
        <is>
          <t>BSA</t>
        </is>
      </c>
      <c r="U888" t="inlineStr">
        <is>
          <t>BSA</t>
        </is>
      </c>
    </row>
    <row r="889">
      <c r="C889" t="inlineStr">
        <is>
          <t>BSA</t>
        </is>
      </c>
      <c r="D889" t="inlineStr">
        <is>
          <t>BSA</t>
        </is>
      </c>
      <c r="E889" t="inlineStr">
        <is>
          <t>당월</t>
        </is>
      </c>
      <c r="F889" t="inlineStr">
        <is>
          <t>12월 1주차</t>
        </is>
      </c>
      <c r="G889" t="inlineStr">
        <is>
          <t>네이버</t>
        </is>
      </c>
      <c r="H889" s="16" t="n">
        <v>45629</v>
      </c>
      <c r="I889" t="inlineStr">
        <is>
          <t>PC</t>
        </is>
      </c>
      <c r="J889" t="inlineStr">
        <is>
          <t>00.브랜드검색PCMO</t>
        </is>
      </c>
      <c r="K889" t="inlineStr">
        <is>
          <t>00_브랜드검색PC</t>
        </is>
      </c>
      <c r="M889" t="n">
        <v>0</v>
      </c>
      <c r="N889" t="n">
        <v>0</v>
      </c>
      <c r="O889">
        <f>1892000/48</f>
        <v/>
      </c>
      <c r="P889" t="n">
        <v>0</v>
      </c>
      <c r="Q889" t="n">
        <v>0</v>
      </c>
      <c r="R889" t="n">
        <v>0</v>
      </c>
      <c r="S889" t="n">
        <v>0</v>
      </c>
      <c r="T889" t="inlineStr">
        <is>
          <t>BSA</t>
        </is>
      </c>
      <c r="U889" t="inlineStr">
        <is>
          <t>BSA</t>
        </is>
      </c>
    </row>
    <row r="890">
      <c r="C890" t="inlineStr">
        <is>
          <t>BSA</t>
        </is>
      </c>
      <c r="D890" t="inlineStr">
        <is>
          <t>BSA</t>
        </is>
      </c>
      <c r="E890" t="inlineStr">
        <is>
          <t>당월</t>
        </is>
      </c>
      <c r="F890" t="inlineStr">
        <is>
          <t>12월 1주차</t>
        </is>
      </c>
      <c r="G890" t="inlineStr">
        <is>
          <t>네이버</t>
        </is>
      </c>
      <c r="H890" s="16" t="n">
        <v>45629</v>
      </c>
      <c r="I890" t="inlineStr">
        <is>
          <t>MO</t>
        </is>
      </c>
      <c r="J890" t="inlineStr">
        <is>
          <t>00.브랜드검색PCMO</t>
        </is>
      </c>
      <c r="K890" t="inlineStr">
        <is>
          <t>00_브랜드검색MO</t>
        </is>
      </c>
      <c r="M890" t="n">
        <v>0</v>
      </c>
      <c r="N890" t="n">
        <v>0</v>
      </c>
      <c r="O890">
        <f>1892000/48</f>
        <v/>
      </c>
      <c r="P890" t="n">
        <v>0</v>
      </c>
      <c r="Q890" t="n">
        <v>0</v>
      </c>
      <c r="R890" t="n">
        <v>0</v>
      </c>
      <c r="S890" t="n">
        <v>0</v>
      </c>
      <c r="T890" t="inlineStr">
        <is>
          <t>BSA</t>
        </is>
      </c>
      <c r="U890" t="inlineStr">
        <is>
          <t>BSA</t>
        </is>
      </c>
    </row>
    <row r="891">
      <c r="C891" t="inlineStr">
        <is>
          <t>BSA</t>
        </is>
      </c>
      <c r="D891" t="inlineStr">
        <is>
          <t>BSA</t>
        </is>
      </c>
      <c r="E891" t="inlineStr">
        <is>
          <t>당월</t>
        </is>
      </c>
      <c r="F891" t="inlineStr">
        <is>
          <t>12월 1주차</t>
        </is>
      </c>
      <c r="G891" t="inlineStr">
        <is>
          <t>네이버</t>
        </is>
      </c>
      <c r="H891" s="16" t="n">
        <v>45630</v>
      </c>
      <c r="I891" t="inlineStr">
        <is>
          <t>MO</t>
        </is>
      </c>
      <c r="J891" t="inlineStr">
        <is>
          <t>00.브랜드검색PCMO</t>
        </is>
      </c>
      <c r="K891" t="inlineStr">
        <is>
          <t>00_브랜드검색MO</t>
        </is>
      </c>
      <c r="M891" t="n">
        <v>0</v>
      </c>
      <c r="N891" t="n">
        <v>0</v>
      </c>
      <c r="O891">
        <f>1892000/48</f>
        <v/>
      </c>
      <c r="P891" t="n">
        <v>0</v>
      </c>
      <c r="Q891" t="n">
        <v>0</v>
      </c>
      <c r="R891" t="n">
        <v>0</v>
      </c>
      <c r="S891" t="n">
        <v>0</v>
      </c>
      <c r="T891" t="inlineStr">
        <is>
          <t>BSA</t>
        </is>
      </c>
      <c r="U891" t="inlineStr">
        <is>
          <t>BSA</t>
        </is>
      </c>
    </row>
    <row r="892">
      <c r="C892" t="inlineStr">
        <is>
          <t>BSA</t>
        </is>
      </c>
      <c r="D892" t="inlineStr">
        <is>
          <t>BSA</t>
        </is>
      </c>
      <c r="E892" t="inlineStr">
        <is>
          <t>당월</t>
        </is>
      </c>
      <c r="F892" t="inlineStr">
        <is>
          <t>12월 1주차</t>
        </is>
      </c>
      <c r="G892" t="inlineStr">
        <is>
          <t>네이버</t>
        </is>
      </c>
      <c r="H892" s="16" t="n">
        <v>45630</v>
      </c>
      <c r="I892" t="inlineStr">
        <is>
          <t>MO</t>
        </is>
      </c>
      <c r="J892" t="inlineStr">
        <is>
          <t>00.브랜드검색PCMO</t>
        </is>
      </c>
      <c r="K892" t="inlineStr">
        <is>
          <t>00_브랜드검색MO</t>
        </is>
      </c>
      <c r="M892" t="n">
        <v>0</v>
      </c>
      <c r="N892" t="n">
        <v>0</v>
      </c>
      <c r="O892">
        <f>1892000/48</f>
        <v/>
      </c>
      <c r="P892" t="n">
        <v>0</v>
      </c>
      <c r="Q892" t="n">
        <v>0</v>
      </c>
      <c r="R892" t="n">
        <v>0</v>
      </c>
      <c r="S892" t="n">
        <v>0</v>
      </c>
      <c r="T892" t="inlineStr">
        <is>
          <t>BSA</t>
        </is>
      </c>
      <c r="U892" t="inlineStr">
        <is>
          <t>BSA</t>
        </is>
      </c>
    </row>
    <row r="893">
      <c r="C893" t="inlineStr">
        <is>
          <t>BSA</t>
        </is>
      </c>
      <c r="D893" t="inlineStr">
        <is>
          <t>BSA</t>
        </is>
      </c>
      <c r="E893" t="inlineStr">
        <is>
          <t>당월</t>
        </is>
      </c>
      <c r="F893" t="inlineStr">
        <is>
          <t>12월 1주차</t>
        </is>
      </c>
      <c r="G893" t="inlineStr">
        <is>
          <t>네이버</t>
        </is>
      </c>
      <c r="H893" s="16" t="n">
        <v>45631</v>
      </c>
      <c r="I893" t="inlineStr">
        <is>
          <t>MO</t>
        </is>
      </c>
      <c r="J893" t="inlineStr">
        <is>
          <t>00.브랜드검색PCMO</t>
        </is>
      </c>
      <c r="K893" t="inlineStr">
        <is>
          <t>00_브랜드검색MO</t>
        </is>
      </c>
      <c r="M893" t="n">
        <v>0</v>
      </c>
      <c r="N893" t="n">
        <v>0</v>
      </c>
      <c r="O893">
        <f>1892000/48</f>
        <v/>
      </c>
      <c r="P893" t="n">
        <v>0</v>
      </c>
      <c r="Q893" t="n">
        <v>0</v>
      </c>
      <c r="R893" t="n">
        <v>0</v>
      </c>
      <c r="S893" t="n">
        <v>0</v>
      </c>
      <c r="T893" t="inlineStr">
        <is>
          <t>BSA</t>
        </is>
      </c>
      <c r="U893" t="inlineStr">
        <is>
          <t>BSA</t>
        </is>
      </c>
    </row>
    <row r="894">
      <c r="C894" t="inlineStr">
        <is>
          <t>BSA</t>
        </is>
      </c>
      <c r="D894" t="inlineStr">
        <is>
          <t>BSA</t>
        </is>
      </c>
      <c r="E894" t="inlineStr">
        <is>
          <t>당월</t>
        </is>
      </c>
      <c r="F894" t="inlineStr">
        <is>
          <t>12월 1주차</t>
        </is>
      </c>
      <c r="G894" t="inlineStr">
        <is>
          <t>네이버</t>
        </is>
      </c>
      <c r="H894" s="16" t="n">
        <v>45631</v>
      </c>
      <c r="I894" t="inlineStr">
        <is>
          <t>MO</t>
        </is>
      </c>
      <c r="J894" t="inlineStr">
        <is>
          <t>00.브랜드검색PCMO</t>
        </is>
      </c>
      <c r="K894" t="inlineStr">
        <is>
          <t>00_브랜드검색MO</t>
        </is>
      </c>
      <c r="M894" t="n">
        <v>0</v>
      </c>
      <c r="N894" t="n">
        <v>0</v>
      </c>
      <c r="O894">
        <f>1892000/48</f>
        <v/>
      </c>
      <c r="P894" t="n">
        <v>0</v>
      </c>
      <c r="Q894" t="n">
        <v>0</v>
      </c>
      <c r="R894" t="n">
        <v>0</v>
      </c>
      <c r="S894" t="n">
        <v>0</v>
      </c>
      <c r="T894" t="inlineStr">
        <is>
          <t>BSA</t>
        </is>
      </c>
      <c r="U894" t="inlineStr">
        <is>
          <t>BSA</t>
        </is>
      </c>
    </row>
    <row r="895">
      <c r="C895" t="inlineStr">
        <is>
          <t>BSA</t>
        </is>
      </c>
      <c r="D895" t="inlineStr">
        <is>
          <t>BSA</t>
        </is>
      </c>
      <c r="E895" t="inlineStr">
        <is>
          <t>당월</t>
        </is>
      </c>
      <c r="F895" t="inlineStr">
        <is>
          <t>12월 1주차</t>
        </is>
      </c>
      <c r="G895" t="inlineStr">
        <is>
          <t>네이버</t>
        </is>
      </c>
      <c r="H895" s="16" t="n">
        <v>45632</v>
      </c>
      <c r="I895" t="inlineStr">
        <is>
          <t>MO</t>
        </is>
      </c>
      <c r="J895" t="inlineStr">
        <is>
          <t>00.브랜드검색PCMO</t>
        </is>
      </c>
      <c r="K895" t="inlineStr">
        <is>
          <t>00_브랜드검색MO</t>
        </is>
      </c>
      <c r="M895" t="n">
        <v>0</v>
      </c>
      <c r="N895" t="n">
        <v>0</v>
      </c>
      <c r="O895">
        <f>1892000/48</f>
        <v/>
      </c>
      <c r="P895" t="n">
        <v>0</v>
      </c>
      <c r="Q895" t="n">
        <v>0</v>
      </c>
      <c r="R895" t="n">
        <v>0</v>
      </c>
      <c r="S895" t="n">
        <v>0</v>
      </c>
      <c r="T895" t="inlineStr">
        <is>
          <t>BSA</t>
        </is>
      </c>
      <c r="U895" t="inlineStr">
        <is>
          <t>BSA</t>
        </is>
      </c>
    </row>
    <row r="896">
      <c r="C896" t="inlineStr">
        <is>
          <t>BSA</t>
        </is>
      </c>
      <c r="D896" t="inlineStr">
        <is>
          <t>BSA</t>
        </is>
      </c>
      <c r="E896" t="inlineStr">
        <is>
          <t>당월</t>
        </is>
      </c>
      <c r="F896" t="inlineStr">
        <is>
          <t>12월 1주차</t>
        </is>
      </c>
      <c r="G896" t="inlineStr">
        <is>
          <t>네이버</t>
        </is>
      </c>
      <c r="H896" s="16" t="n">
        <v>45632</v>
      </c>
      <c r="I896" t="inlineStr">
        <is>
          <t>MO</t>
        </is>
      </c>
      <c r="J896" t="inlineStr">
        <is>
          <t>00.브랜드검색PCMO</t>
        </is>
      </c>
      <c r="K896" t="inlineStr">
        <is>
          <t>00_브랜드검색MO</t>
        </is>
      </c>
      <c r="M896" t="n">
        <v>0</v>
      </c>
      <c r="N896" t="n">
        <v>0</v>
      </c>
      <c r="O896">
        <f>1892000/48</f>
        <v/>
      </c>
      <c r="P896" t="n">
        <v>0</v>
      </c>
      <c r="Q896" t="n">
        <v>0</v>
      </c>
      <c r="R896" t="n">
        <v>0</v>
      </c>
      <c r="S896" t="n">
        <v>0</v>
      </c>
      <c r="T896" t="inlineStr">
        <is>
          <t>BSA</t>
        </is>
      </c>
      <c r="U896" t="inlineStr">
        <is>
          <t>BSA</t>
        </is>
      </c>
    </row>
    <row r="897">
      <c r="C897" t="inlineStr">
        <is>
          <t>BSA</t>
        </is>
      </c>
      <c r="D897" t="inlineStr">
        <is>
          <t>BSA</t>
        </is>
      </c>
      <c r="E897" t="inlineStr">
        <is>
          <t>당월</t>
        </is>
      </c>
      <c r="F897" t="inlineStr">
        <is>
          <t>12월 1주차</t>
        </is>
      </c>
      <c r="G897" t="inlineStr">
        <is>
          <t>네이버</t>
        </is>
      </c>
      <c r="H897" s="16" t="n">
        <v>45633</v>
      </c>
      <c r="I897" t="inlineStr">
        <is>
          <t>MO</t>
        </is>
      </c>
      <c r="J897" t="inlineStr">
        <is>
          <t>00.브랜드검색PCMO</t>
        </is>
      </c>
      <c r="K897" t="inlineStr">
        <is>
          <t>00_브랜드검색MO</t>
        </is>
      </c>
      <c r="M897" t="n">
        <v>0</v>
      </c>
      <c r="N897" t="n">
        <v>0</v>
      </c>
      <c r="O897">
        <f>1892000/48</f>
        <v/>
      </c>
      <c r="P897" t="n">
        <v>0</v>
      </c>
      <c r="Q897" t="n">
        <v>0</v>
      </c>
      <c r="R897" t="n">
        <v>0</v>
      </c>
      <c r="S897" t="n">
        <v>0</v>
      </c>
      <c r="T897" t="inlineStr">
        <is>
          <t>BSA</t>
        </is>
      </c>
      <c r="U897" t="inlineStr">
        <is>
          <t>BSA</t>
        </is>
      </c>
    </row>
    <row r="898">
      <c r="C898" t="inlineStr">
        <is>
          <t>BSA</t>
        </is>
      </c>
      <c r="D898" t="inlineStr">
        <is>
          <t>BSA</t>
        </is>
      </c>
      <c r="E898" t="inlineStr">
        <is>
          <t>당월</t>
        </is>
      </c>
      <c r="F898" t="inlineStr">
        <is>
          <t>12월 1주차</t>
        </is>
      </c>
      <c r="G898" t="inlineStr">
        <is>
          <t>네이버</t>
        </is>
      </c>
      <c r="H898" s="16" t="n">
        <v>45633</v>
      </c>
      <c r="I898" t="inlineStr">
        <is>
          <t>MO</t>
        </is>
      </c>
      <c r="J898" t="inlineStr">
        <is>
          <t>00.브랜드검색PCMO</t>
        </is>
      </c>
      <c r="K898" t="inlineStr">
        <is>
          <t>00_브랜드검색MO</t>
        </is>
      </c>
      <c r="M898" t="n">
        <v>0</v>
      </c>
      <c r="N898" t="n">
        <v>0</v>
      </c>
      <c r="O898">
        <f>1892000/48</f>
        <v/>
      </c>
      <c r="P898" t="n">
        <v>0</v>
      </c>
      <c r="Q898" t="n">
        <v>0</v>
      </c>
      <c r="R898" t="n">
        <v>0</v>
      </c>
      <c r="S898" t="n">
        <v>0</v>
      </c>
      <c r="T898" t="inlineStr">
        <is>
          <t>BSA</t>
        </is>
      </c>
      <c r="U898" t="inlineStr">
        <is>
          <t>BSA</t>
        </is>
      </c>
    </row>
    <row r="899">
      <c r="C899" t="inlineStr">
        <is>
          <t>BSA</t>
        </is>
      </c>
      <c r="D899" t="inlineStr">
        <is>
          <t>BSA</t>
        </is>
      </c>
      <c r="E899" t="inlineStr">
        <is>
          <t>당월</t>
        </is>
      </c>
      <c r="F899" t="inlineStr">
        <is>
          <t>12월 1주차</t>
        </is>
      </c>
      <c r="G899" t="inlineStr">
        <is>
          <t>네이버</t>
        </is>
      </c>
      <c r="H899" s="16" t="n">
        <v>45634</v>
      </c>
      <c r="I899" t="inlineStr">
        <is>
          <t>MO</t>
        </is>
      </c>
      <c r="J899" t="inlineStr">
        <is>
          <t>00.브랜드검색PCMO</t>
        </is>
      </c>
      <c r="K899" t="inlineStr">
        <is>
          <t>00_브랜드검색MO</t>
        </is>
      </c>
      <c r="M899" t="n">
        <v>0</v>
      </c>
      <c r="N899" t="n">
        <v>0</v>
      </c>
      <c r="O899">
        <f>1892000/48</f>
        <v/>
      </c>
      <c r="P899" t="n">
        <v>0</v>
      </c>
      <c r="Q899" t="n">
        <v>0</v>
      </c>
      <c r="R899" t="n">
        <v>0</v>
      </c>
      <c r="S899" t="n">
        <v>0</v>
      </c>
      <c r="T899" t="inlineStr">
        <is>
          <t>BSA</t>
        </is>
      </c>
      <c r="U899" t="inlineStr">
        <is>
          <t>BSA</t>
        </is>
      </c>
    </row>
    <row r="900">
      <c r="C900" t="inlineStr">
        <is>
          <t>BSA</t>
        </is>
      </c>
      <c r="D900" t="inlineStr">
        <is>
          <t>BSA</t>
        </is>
      </c>
      <c r="E900" t="inlineStr">
        <is>
          <t>당월</t>
        </is>
      </c>
      <c r="F900" t="inlineStr">
        <is>
          <t>12월 1주차</t>
        </is>
      </c>
      <c r="G900" t="inlineStr">
        <is>
          <t>네이버</t>
        </is>
      </c>
      <c r="H900" s="16" t="n">
        <v>45634</v>
      </c>
      <c r="I900" t="inlineStr">
        <is>
          <t>MO</t>
        </is>
      </c>
      <c r="J900" t="inlineStr">
        <is>
          <t>00.브랜드검색PCMO</t>
        </is>
      </c>
      <c r="K900" t="inlineStr">
        <is>
          <t>00_브랜드검색MO</t>
        </is>
      </c>
      <c r="M900" t="n">
        <v>0</v>
      </c>
      <c r="N900" t="n">
        <v>0</v>
      </c>
      <c r="O900">
        <f>1892000/48</f>
        <v/>
      </c>
      <c r="P900" t="n">
        <v>0</v>
      </c>
      <c r="Q900" t="n">
        <v>0</v>
      </c>
      <c r="R900" t="n">
        <v>0</v>
      </c>
      <c r="S900" t="n">
        <v>0</v>
      </c>
      <c r="T900" t="inlineStr">
        <is>
          <t>BSA</t>
        </is>
      </c>
      <c r="U900" t="inlineStr">
        <is>
          <t>BSA</t>
        </is>
      </c>
    </row>
    <row r="902">
      <c r="C902" t="inlineStr">
        <is>
          <t>BSA</t>
        </is>
      </c>
      <c r="D902" t="inlineStr">
        <is>
          <t>BSA</t>
        </is>
      </c>
      <c r="E902" t="inlineStr">
        <is>
          <t>당월</t>
        </is>
      </c>
      <c r="F902" t="inlineStr">
        <is>
          <t>12월 2주차</t>
        </is>
      </c>
      <c r="G902" t="inlineStr">
        <is>
          <t>네이버</t>
        </is>
      </c>
      <c r="H902" s="16" t="n">
        <v>45635</v>
      </c>
      <c r="I902" t="inlineStr">
        <is>
          <t>PC</t>
        </is>
      </c>
      <c r="J902" t="inlineStr">
        <is>
          <t>00.브랜드검색PCMO</t>
        </is>
      </c>
      <c r="K902" t="inlineStr">
        <is>
          <t>00_브랜드검색PC</t>
        </is>
      </c>
      <c r="M902" t="n">
        <v>0</v>
      </c>
      <c r="N902" t="n">
        <v>0</v>
      </c>
      <c r="O902">
        <f>1892000/48</f>
        <v/>
      </c>
      <c r="P902" t="n">
        <v>0</v>
      </c>
      <c r="Q902" t="n">
        <v>0</v>
      </c>
      <c r="R902" t="n">
        <v>0</v>
      </c>
      <c r="S902" t="n">
        <v>0</v>
      </c>
      <c r="T902" t="inlineStr">
        <is>
          <t>BSA</t>
        </is>
      </c>
      <c r="U902" t="inlineStr">
        <is>
          <t>BSA</t>
        </is>
      </c>
    </row>
    <row r="903">
      <c r="C903" t="inlineStr">
        <is>
          <t>BSA</t>
        </is>
      </c>
      <c r="D903" t="inlineStr">
        <is>
          <t>BSA</t>
        </is>
      </c>
      <c r="E903" t="inlineStr">
        <is>
          <t>당월</t>
        </is>
      </c>
      <c r="F903" t="inlineStr">
        <is>
          <t>12월 2주차</t>
        </is>
      </c>
      <c r="G903" t="inlineStr">
        <is>
          <t>네이버</t>
        </is>
      </c>
      <c r="H903" s="16" t="n">
        <v>45635</v>
      </c>
      <c r="I903" t="inlineStr">
        <is>
          <t>MO</t>
        </is>
      </c>
      <c r="J903" t="inlineStr">
        <is>
          <t>00.브랜드검색PCMO</t>
        </is>
      </c>
      <c r="K903" t="inlineStr">
        <is>
          <t>00_브랜드검색MO</t>
        </is>
      </c>
      <c r="M903" t="n">
        <v>0</v>
      </c>
      <c r="N903" t="n">
        <v>0</v>
      </c>
      <c r="O903">
        <f>1892000/48</f>
        <v/>
      </c>
      <c r="P903" t="n">
        <v>0</v>
      </c>
      <c r="Q903" t="n">
        <v>0</v>
      </c>
      <c r="R903" t="n">
        <v>0</v>
      </c>
      <c r="S903" t="n">
        <v>0</v>
      </c>
      <c r="T903" t="inlineStr">
        <is>
          <t>BSA</t>
        </is>
      </c>
      <c r="U903" t="inlineStr">
        <is>
          <t>BSA</t>
        </is>
      </c>
    </row>
    <row r="904">
      <c r="C904" t="inlineStr">
        <is>
          <t>BSA</t>
        </is>
      </c>
      <c r="D904" t="inlineStr">
        <is>
          <t>BSA</t>
        </is>
      </c>
      <c r="E904" t="inlineStr">
        <is>
          <t>당월</t>
        </is>
      </c>
      <c r="F904" t="inlineStr">
        <is>
          <t>12월 2주차</t>
        </is>
      </c>
      <c r="G904" t="inlineStr">
        <is>
          <t>네이버</t>
        </is>
      </c>
      <c r="H904" s="16" t="n">
        <v>45636</v>
      </c>
      <c r="I904" t="inlineStr">
        <is>
          <t>PC</t>
        </is>
      </c>
      <c r="J904" t="inlineStr">
        <is>
          <t>00.브랜드검색PCMO</t>
        </is>
      </c>
      <c r="K904" t="inlineStr">
        <is>
          <t>00_브랜드검색PC</t>
        </is>
      </c>
      <c r="M904" t="n">
        <v>0</v>
      </c>
      <c r="N904" t="n">
        <v>0</v>
      </c>
      <c r="O904">
        <f>1892000/48</f>
        <v/>
      </c>
      <c r="P904" t="n">
        <v>0</v>
      </c>
      <c r="Q904" t="n">
        <v>0</v>
      </c>
      <c r="R904" t="n">
        <v>0</v>
      </c>
      <c r="S904" t="n">
        <v>0</v>
      </c>
      <c r="T904" t="inlineStr">
        <is>
          <t>BSA</t>
        </is>
      </c>
      <c r="U904" t="inlineStr">
        <is>
          <t>BSA</t>
        </is>
      </c>
    </row>
    <row r="905">
      <c r="C905" t="inlineStr">
        <is>
          <t>BSA</t>
        </is>
      </c>
      <c r="D905" t="inlineStr">
        <is>
          <t>BSA</t>
        </is>
      </c>
      <c r="E905" t="inlineStr">
        <is>
          <t>당월</t>
        </is>
      </c>
      <c r="F905" t="inlineStr">
        <is>
          <t>12월 2주차</t>
        </is>
      </c>
      <c r="G905" t="inlineStr">
        <is>
          <t>네이버</t>
        </is>
      </c>
      <c r="H905" s="16" t="n">
        <v>45636</v>
      </c>
      <c r="I905" t="inlineStr">
        <is>
          <t>MO</t>
        </is>
      </c>
      <c r="J905" t="inlineStr">
        <is>
          <t>00.브랜드검색PCMO</t>
        </is>
      </c>
      <c r="K905" t="inlineStr">
        <is>
          <t>00_브랜드검색MO</t>
        </is>
      </c>
      <c r="M905" t="n">
        <v>0</v>
      </c>
      <c r="N905" t="n">
        <v>0</v>
      </c>
      <c r="O905">
        <f>1892000/48</f>
        <v/>
      </c>
      <c r="P905" t="n">
        <v>0</v>
      </c>
      <c r="Q905" t="n">
        <v>0</v>
      </c>
      <c r="R905" t="n">
        <v>0</v>
      </c>
      <c r="S905" t="n">
        <v>0</v>
      </c>
      <c r="T905" t="inlineStr">
        <is>
          <t>BSA</t>
        </is>
      </c>
      <c r="U905" t="inlineStr">
        <is>
          <t>BSA</t>
        </is>
      </c>
    </row>
    <row r="906">
      <c r="C906" t="inlineStr">
        <is>
          <t>BSA</t>
        </is>
      </c>
      <c r="D906" t="inlineStr">
        <is>
          <t>BSA</t>
        </is>
      </c>
      <c r="E906" t="inlineStr">
        <is>
          <t>당월</t>
        </is>
      </c>
      <c r="F906" t="inlineStr">
        <is>
          <t>12월 2주차</t>
        </is>
      </c>
      <c r="G906" t="inlineStr">
        <is>
          <t>네이버</t>
        </is>
      </c>
      <c r="H906" s="16" t="n">
        <v>45637</v>
      </c>
      <c r="I906" t="inlineStr">
        <is>
          <t>MO</t>
        </is>
      </c>
      <c r="J906" t="inlineStr">
        <is>
          <t>00.브랜드검색PCMO</t>
        </is>
      </c>
      <c r="K906" t="inlineStr">
        <is>
          <t>00_브랜드검색MO</t>
        </is>
      </c>
      <c r="M906" t="n">
        <v>0</v>
      </c>
      <c r="N906" t="n">
        <v>0</v>
      </c>
      <c r="O906">
        <f>1892000/48</f>
        <v/>
      </c>
      <c r="P906" t="n">
        <v>0</v>
      </c>
      <c r="Q906" t="n">
        <v>0</v>
      </c>
      <c r="R906" t="n">
        <v>0</v>
      </c>
      <c r="S906" t="n">
        <v>0</v>
      </c>
      <c r="T906" t="inlineStr">
        <is>
          <t>BSA</t>
        </is>
      </c>
      <c r="U906" t="inlineStr">
        <is>
          <t>BSA</t>
        </is>
      </c>
    </row>
    <row r="907">
      <c r="C907" t="inlineStr">
        <is>
          <t>BSA</t>
        </is>
      </c>
      <c r="D907" t="inlineStr">
        <is>
          <t>BSA</t>
        </is>
      </c>
      <c r="E907" t="inlineStr">
        <is>
          <t>당월</t>
        </is>
      </c>
      <c r="F907" t="inlineStr">
        <is>
          <t>12월 2주차</t>
        </is>
      </c>
      <c r="G907" t="inlineStr">
        <is>
          <t>네이버</t>
        </is>
      </c>
      <c r="H907" s="16" t="n">
        <v>45637</v>
      </c>
      <c r="I907" t="inlineStr">
        <is>
          <t>MO</t>
        </is>
      </c>
      <c r="J907" t="inlineStr">
        <is>
          <t>00.브랜드검색PCMO</t>
        </is>
      </c>
      <c r="K907" t="inlineStr">
        <is>
          <t>00_브랜드검색MO</t>
        </is>
      </c>
      <c r="M907" t="n">
        <v>0</v>
      </c>
      <c r="N907" t="n">
        <v>0</v>
      </c>
      <c r="O907">
        <f>1892000/48</f>
        <v/>
      </c>
      <c r="P907" t="n">
        <v>0</v>
      </c>
      <c r="Q907" t="n">
        <v>0</v>
      </c>
      <c r="R907" t="n">
        <v>0</v>
      </c>
      <c r="S907" t="n">
        <v>0</v>
      </c>
      <c r="T907" t="inlineStr">
        <is>
          <t>BSA</t>
        </is>
      </c>
      <c r="U907" t="inlineStr">
        <is>
          <t>BSA</t>
        </is>
      </c>
    </row>
    <row r="908">
      <c r="C908" t="inlineStr">
        <is>
          <t>BSA</t>
        </is>
      </c>
      <c r="D908" t="inlineStr">
        <is>
          <t>BSA</t>
        </is>
      </c>
      <c r="E908" t="inlineStr">
        <is>
          <t>당월</t>
        </is>
      </c>
      <c r="F908" t="inlineStr">
        <is>
          <t>12월 2주차</t>
        </is>
      </c>
      <c r="G908" t="inlineStr">
        <is>
          <t>네이버</t>
        </is>
      </c>
      <c r="H908" s="16" t="n">
        <v>45638</v>
      </c>
      <c r="I908" t="inlineStr">
        <is>
          <t>MO</t>
        </is>
      </c>
      <c r="J908" t="inlineStr">
        <is>
          <t>00.브랜드검색PCMO</t>
        </is>
      </c>
      <c r="K908" t="inlineStr">
        <is>
          <t>00_브랜드검색MO</t>
        </is>
      </c>
      <c r="M908" t="n">
        <v>0</v>
      </c>
      <c r="N908" t="n">
        <v>0</v>
      </c>
      <c r="O908">
        <f>1892000/48</f>
        <v/>
      </c>
      <c r="P908" t="n">
        <v>0</v>
      </c>
      <c r="Q908" t="n">
        <v>0</v>
      </c>
      <c r="R908" t="n">
        <v>0</v>
      </c>
      <c r="S908" t="n">
        <v>0</v>
      </c>
      <c r="T908" t="inlineStr">
        <is>
          <t>BSA</t>
        </is>
      </c>
      <c r="U908" t="inlineStr">
        <is>
          <t>BSA</t>
        </is>
      </c>
    </row>
    <row r="909">
      <c r="C909" t="inlineStr">
        <is>
          <t>BSA</t>
        </is>
      </c>
      <c r="D909" t="inlineStr">
        <is>
          <t>BSA</t>
        </is>
      </c>
      <c r="E909" t="inlineStr">
        <is>
          <t>당월</t>
        </is>
      </c>
      <c r="F909" t="inlineStr">
        <is>
          <t>12월 2주차</t>
        </is>
      </c>
      <c r="G909" t="inlineStr">
        <is>
          <t>네이버</t>
        </is>
      </c>
      <c r="H909" s="16" t="n">
        <v>45638</v>
      </c>
      <c r="I909" t="inlineStr">
        <is>
          <t>MO</t>
        </is>
      </c>
      <c r="J909" t="inlineStr">
        <is>
          <t>00.브랜드검색PCMO</t>
        </is>
      </c>
      <c r="K909" t="inlineStr">
        <is>
          <t>00_브랜드검색MO</t>
        </is>
      </c>
      <c r="M909" t="n">
        <v>0</v>
      </c>
      <c r="N909" t="n">
        <v>0</v>
      </c>
      <c r="O909">
        <f>1892000/48</f>
        <v/>
      </c>
      <c r="P909" t="n">
        <v>0</v>
      </c>
      <c r="Q909" t="n">
        <v>0</v>
      </c>
      <c r="R909" t="n">
        <v>0</v>
      </c>
      <c r="S909" t="n">
        <v>0</v>
      </c>
      <c r="T909" t="inlineStr">
        <is>
          <t>BSA</t>
        </is>
      </c>
      <c r="U909" t="inlineStr">
        <is>
          <t>BSA</t>
        </is>
      </c>
    </row>
    <row r="910">
      <c r="C910" t="inlineStr">
        <is>
          <t>BSA</t>
        </is>
      </c>
      <c r="D910" t="inlineStr">
        <is>
          <t>BSA</t>
        </is>
      </c>
      <c r="E910" t="inlineStr">
        <is>
          <t>당월</t>
        </is>
      </c>
      <c r="F910" t="inlineStr">
        <is>
          <t>12월 2주차</t>
        </is>
      </c>
      <c r="G910" t="inlineStr">
        <is>
          <t>네이버</t>
        </is>
      </c>
      <c r="H910" s="16" t="n">
        <v>45639</v>
      </c>
      <c r="I910" t="inlineStr">
        <is>
          <t>MO</t>
        </is>
      </c>
      <c r="J910" t="inlineStr">
        <is>
          <t>00.브랜드검색PCMO</t>
        </is>
      </c>
      <c r="K910" t="inlineStr">
        <is>
          <t>00_브랜드검색MO</t>
        </is>
      </c>
      <c r="M910" t="n">
        <v>0</v>
      </c>
      <c r="N910" t="n">
        <v>0</v>
      </c>
      <c r="O910">
        <f>1892000/48</f>
        <v/>
      </c>
      <c r="P910" t="n">
        <v>0</v>
      </c>
      <c r="Q910" t="n">
        <v>0</v>
      </c>
      <c r="R910" t="n">
        <v>0</v>
      </c>
      <c r="S910" t="n">
        <v>0</v>
      </c>
      <c r="T910" t="inlineStr">
        <is>
          <t>BSA</t>
        </is>
      </c>
      <c r="U910" t="inlineStr">
        <is>
          <t>BSA</t>
        </is>
      </c>
    </row>
    <row r="911">
      <c r="C911" t="inlineStr">
        <is>
          <t>BSA</t>
        </is>
      </c>
      <c r="D911" t="inlineStr">
        <is>
          <t>BSA</t>
        </is>
      </c>
      <c r="E911" t="inlineStr">
        <is>
          <t>당월</t>
        </is>
      </c>
      <c r="F911" t="inlineStr">
        <is>
          <t>12월 2주차</t>
        </is>
      </c>
      <c r="G911" t="inlineStr">
        <is>
          <t>네이버</t>
        </is>
      </c>
      <c r="H911" s="16" t="n">
        <v>45639</v>
      </c>
      <c r="I911" t="inlineStr">
        <is>
          <t>MO</t>
        </is>
      </c>
      <c r="J911" t="inlineStr">
        <is>
          <t>00.브랜드검색PCMO</t>
        </is>
      </c>
      <c r="K911" t="inlineStr">
        <is>
          <t>00_브랜드검색MO</t>
        </is>
      </c>
      <c r="M911" t="n">
        <v>0</v>
      </c>
      <c r="N911" t="n">
        <v>0</v>
      </c>
      <c r="O911">
        <f>1892000/48</f>
        <v/>
      </c>
      <c r="P911" t="n">
        <v>0</v>
      </c>
      <c r="Q911" t="n">
        <v>0</v>
      </c>
      <c r="R911" t="n">
        <v>0</v>
      </c>
      <c r="S911" t="n">
        <v>0</v>
      </c>
      <c r="T911" t="inlineStr">
        <is>
          <t>BSA</t>
        </is>
      </c>
      <c r="U911" t="inlineStr">
        <is>
          <t>BSA</t>
        </is>
      </c>
    </row>
    <row r="912">
      <c r="C912" t="inlineStr">
        <is>
          <t>BSA</t>
        </is>
      </c>
      <c r="D912" t="inlineStr">
        <is>
          <t>BSA</t>
        </is>
      </c>
      <c r="E912" t="inlineStr">
        <is>
          <t>당월</t>
        </is>
      </c>
      <c r="F912" t="inlineStr">
        <is>
          <t>12월 2주차</t>
        </is>
      </c>
      <c r="G912" t="inlineStr">
        <is>
          <t>네이버</t>
        </is>
      </c>
      <c r="H912" s="16" t="n">
        <v>45640</v>
      </c>
      <c r="I912" t="inlineStr">
        <is>
          <t>MO</t>
        </is>
      </c>
      <c r="J912" t="inlineStr">
        <is>
          <t>00.브랜드검색PCMO</t>
        </is>
      </c>
      <c r="K912" t="inlineStr">
        <is>
          <t>00_브랜드검색MO</t>
        </is>
      </c>
      <c r="M912" t="n">
        <v>0</v>
      </c>
      <c r="N912" t="n">
        <v>0</v>
      </c>
      <c r="O912">
        <f>1892000/48</f>
        <v/>
      </c>
      <c r="P912" t="n">
        <v>0</v>
      </c>
      <c r="Q912" t="n">
        <v>0</v>
      </c>
      <c r="R912" t="n">
        <v>0</v>
      </c>
      <c r="S912" t="n">
        <v>0</v>
      </c>
      <c r="T912" t="inlineStr">
        <is>
          <t>BSA</t>
        </is>
      </c>
      <c r="U912" t="inlineStr">
        <is>
          <t>BSA</t>
        </is>
      </c>
    </row>
    <row r="913">
      <c r="C913" t="inlineStr">
        <is>
          <t>BSA</t>
        </is>
      </c>
      <c r="D913" t="inlineStr">
        <is>
          <t>BSA</t>
        </is>
      </c>
      <c r="E913" t="inlineStr">
        <is>
          <t>당월</t>
        </is>
      </c>
      <c r="F913" t="inlineStr">
        <is>
          <t>12월 2주차</t>
        </is>
      </c>
      <c r="G913" t="inlineStr">
        <is>
          <t>네이버</t>
        </is>
      </c>
      <c r="H913" s="16" t="n">
        <v>45640</v>
      </c>
      <c r="I913" t="inlineStr">
        <is>
          <t>MO</t>
        </is>
      </c>
      <c r="J913" t="inlineStr">
        <is>
          <t>00.브랜드검색PCMO</t>
        </is>
      </c>
      <c r="K913" t="inlineStr">
        <is>
          <t>00_브랜드검색MO</t>
        </is>
      </c>
      <c r="M913" t="n">
        <v>0</v>
      </c>
      <c r="N913" t="n">
        <v>0</v>
      </c>
      <c r="O913">
        <f>1892000/48</f>
        <v/>
      </c>
      <c r="P913" t="n">
        <v>0</v>
      </c>
      <c r="Q913" t="n">
        <v>0</v>
      </c>
      <c r="R913" t="n">
        <v>0</v>
      </c>
      <c r="S913" t="n">
        <v>0</v>
      </c>
      <c r="T913" t="inlineStr">
        <is>
          <t>BSA</t>
        </is>
      </c>
      <c r="U913" t="inlineStr">
        <is>
          <t>BSA</t>
        </is>
      </c>
    </row>
    <row r="914">
      <c r="C914" t="inlineStr">
        <is>
          <t>BSA</t>
        </is>
      </c>
      <c r="D914" t="inlineStr">
        <is>
          <t>BSA</t>
        </is>
      </c>
      <c r="E914" t="inlineStr">
        <is>
          <t>당월</t>
        </is>
      </c>
      <c r="F914" t="inlineStr">
        <is>
          <t>12월 2주차</t>
        </is>
      </c>
      <c r="G914" t="inlineStr">
        <is>
          <t>네이버</t>
        </is>
      </c>
      <c r="H914" s="16" t="n">
        <v>45641</v>
      </c>
      <c r="I914" t="inlineStr">
        <is>
          <t>MO</t>
        </is>
      </c>
      <c r="J914" t="inlineStr">
        <is>
          <t>00.브랜드검색PCMO</t>
        </is>
      </c>
      <c r="K914" t="inlineStr">
        <is>
          <t>00_브랜드검색MO</t>
        </is>
      </c>
      <c r="M914" t="n">
        <v>0</v>
      </c>
      <c r="N914" t="n">
        <v>0</v>
      </c>
      <c r="O914">
        <f>1892000/48</f>
        <v/>
      </c>
      <c r="P914" t="n">
        <v>0</v>
      </c>
      <c r="Q914" t="n">
        <v>0</v>
      </c>
      <c r="R914" t="n">
        <v>0</v>
      </c>
      <c r="S914" t="n">
        <v>0</v>
      </c>
      <c r="T914" t="inlineStr">
        <is>
          <t>BSA</t>
        </is>
      </c>
      <c r="U914" t="inlineStr">
        <is>
          <t>BSA</t>
        </is>
      </c>
    </row>
    <row r="915">
      <c r="C915" t="inlineStr">
        <is>
          <t>BSA</t>
        </is>
      </c>
      <c r="D915" t="inlineStr">
        <is>
          <t>BSA</t>
        </is>
      </c>
      <c r="E915" t="inlineStr">
        <is>
          <t>당월</t>
        </is>
      </c>
      <c r="F915" t="inlineStr">
        <is>
          <t>12월 2주차</t>
        </is>
      </c>
      <c r="G915" t="inlineStr">
        <is>
          <t>네이버</t>
        </is>
      </c>
      <c r="H915" s="16" t="n">
        <v>45641</v>
      </c>
      <c r="I915" t="inlineStr">
        <is>
          <t>MO</t>
        </is>
      </c>
      <c r="J915" t="inlineStr">
        <is>
          <t>00.브랜드검색PCMO</t>
        </is>
      </c>
      <c r="K915" t="inlineStr">
        <is>
          <t>00_브랜드검색MO</t>
        </is>
      </c>
      <c r="M915" t="n">
        <v>0</v>
      </c>
      <c r="N915" t="n">
        <v>0</v>
      </c>
      <c r="O915">
        <f>1892000/48</f>
        <v/>
      </c>
      <c r="P915" t="n">
        <v>0</v>
      </c>
      <c r="Q915" t="n">
        <v>0</v>
      </c>
      <c r="R915" t="n">
        <v>0</v>
      </c>
      <c r="S915" t="n">
        <v>0</v>
      </c>
      <c r="T915" t="inlineStr">
        <is>
          <t>BSA</t>
        </is>
      </c>
      <c r="U915" t="inlineStr">
        <is>
          <t>BSA</t>
        </is>
      </c>
    </row>
    <row r="917">
      <c r="C917" t="inlineStr">
        <is>
          <t>BSA</t>
        </is>
      </c>
      <c r="D917" t="inlineStr">
        <is>
          <t>BSA</t>
        </is>
      </c>
      <c r="E917" t="inlineStr">
        <is>
          <t>당월</t>
        </is>
      </c>
      <c r="F917" t="inlineStr">
        <is>
          <t>12월 3주차</t>
        </is>
      </c>
      <c r="G917" t="inlineStr">
        <is>
          <t>네이버</t>
        </is>
      </c>
      <c r="H917" s="16" t="n">
        <v>45642</v>
      </c>
      <c r="I917" t="inlineStr">
        <is>
          <t>PC</t>
        </is>
      </c>
      <c r="J917" t="inlineStr">
        <is>
          <t>00.브랜드검색PCMO</t>
        </is>
      </c>
      <c r="K917" t="inlineStr">
        <is>
          <t>00_브랜드검색PC</t>
        </is>
      </c>
      <c r="M917" t="n">
        <v>0</v>
      </c>
      <c r="N917" t="n">
        <v>0</v>
      </c>
      <c r="O917">
        <f>1892000/48</f>
        <v/>
      </c>
      <c r="P917" t="n">
        <v>0</v>
      </c>
      <c r="Q917" t="n">
        <v>0</v>
      </c>
      <c r="R917" t="n">
        <v>0</v>
      </c>
      <c r="S917" t="n">
        <v>0</v>
      </c>
      <c r="T917" t="inlineStr">
        <is>
          <t>BSA</t>
        </is>
      </c>
      <c r="U917" t="inlineStr">
        <is>
          <t>BSA</t>
        </is>
      </c>
    </row>
    <row r="918">
      <c r="C918" t="inlineStr">
        <is>
          <t>BSA</t>
        </is>
      </c>
      <c r="D918" t="inlineStr">
        <is>
          <t>BSA</t>
        </is>
      </c>
      <c r="E918" t="inlineStr">
        <is>
          <t>당월</t>
        </is>
      </c>
      <c r="F918" t="inlineStr">
        <is>
          <t>12월 3주차</t>
        </is>
      </c>
      <c r="G918" t="inlineStr">
        <is>
          <t>네이버</t>
        </is>
      </c>
      <c r="H918" s="16" t="n">
        <v>45642</v>
      </c>
      <c r="I918" t="inlineStr">
        <is>
          <t>MO</t>
        </is>
      </c>
      <c r="J918" t="inlineStr">
        <is>
          <t>00.브랜드검색PCMO</t>
        </is>
      </c>
      <c r="K918" t="inlineStr">
        <is>
          <t>00_브랜드검색MO</t>
        </is>
      </c>
      <c r="M918" t="n">
        <v>0</v>
      </c>
      <c r="N918" t="n">
        <v>0</v>
      </c>
      <c r="O918">
        <f>1892000/48</f>
        <v/>
      </c>
      <c r="P918" t="n">
        <v>0</v>
      </c>
      <c r="Q918" t="n">
        <v>0</v>
      </c>
      <c r="R918" t="n">
        <v>0</v>
      </c>
      <c r="S918" t="n">
        <v>0</v>
      </c>
      <c r="T918" t="inlineStr">
        <is>
          <t>BSA</t>
        </is>
      </c>
      <c r="U918" t="inlineStr">
        <is>
          <t>BSA</t>
        </is>
      </c>
    </row>
    <row r="919">
      <c r="C919" t="inlineStr">
        <is>
          <t>BSA</t>
        </is>
      </c>
      <c r="D919" t="inlineStr">
        <is>
          <t>BSA</t>
        </is>
      </c>
      <c r="E919" t="inlineStr">
        <is>
          <t>당월</t>
        </is>
      </c>
      <c r="F919" t="inlineStr">
        <is>
          <t>12월 3주차</t>
        </is>
      </c>
      <c r="G919" t="inlineStr">
        <is>
          <t>네이버</t>
        </is>
      </c>
      <c r="H919" s="16" t="n">
        <v>45643</v>
      </c>
      <c r="I919" t="inlineStr">
        <is>
          <t>PC</t>
        </is>
      </c>
      <c r="J919" t="inlineStr">
        <is>
          <t>00.브랜드검색PCMO</t>
        </is>
      </c>
      <c r="K919" t="inlineStr">
        <is>
          <t>00_브랜드검색PC</t>
        </is>
      </c>
      <c r="M919" t="n">
        <v>0</v>
      </c>
      <c r="N919" t="n">
        <v>0</v>
      </c>
      <c r="O919">
        <f>1892000/48</f>
        <v/>
      </c>
      <c r="P919" t="n">
        <v>0</v>
      </c>
      <c r="Q919" t="n">
        <v>0</v>
      </c>
      <c r="R919" t="n">
        <v>0</v>
      </c>
      <c r="S919" t="n">
        <v>0</v>
      </c>
      <c r="T919" t="inlineStr">
        <is>
          <t>BSA</t>
        </is>
      </c>
      <c r="U919" t="inlineStr">
        <is>
          <t>BSA</t>
        </is>
      </c>
    </row>
    <row r="920">
      <c r="C920" t="inlineStr">
        <is>
          <t>BSA</t>
        </is>
      </c>
      <c r="D920" t="inlineStr">
        <is>
          <t>BSA</t>
        </is>
      </c>
      <c r="E920" t="inlineStr">
        <is>
          <t>당월</t>
        </is>
      </c>
      <c r="F920" t="inlineStr">
        <is>
          <t>12월 3주차</t>
        </is>
      </c>
      <c r="G920" t="inlineStr">
        <is>
          <t>네이버</t>
        </is>
      </c>
      <c r="H920" s="16" t="n">
        <v>45643</v>
      </c>
      <c r="I920" t="inlineStr">
        <is>
          <t>MO</t>
        </is>
      </c>
      <c r="J920" t="inlineStr">
        <is>
          <t>00.브랜드검색PCMO</t>
        </is>
      </c>
      <c r="K920" t="inlineStr">
        <is>
          <t>00_브랜드검색MO</t>
        </is>
      </c>
      <c r="M920" t="n">
        <v>0</v>
      </c>
      <c r="N920" t="n">
        <v>0</v>
      </c>
      <c r="O920">
        <f>1892000/48</f>
        <v/>
      </c>
      <c r="P920" t="n">
        <v>0</v>
      </c>
      <c r="Q920" t="n">
        <v>0</v>
      </c>
      <c r="R920" t="n">
        <v>0</v>
      </c>
      <c r="S920" t="n">
        <v>0</v>
      </c>
      <c r="T920" t="inlineStr">
        <is>
          <t>BSA</t>
        </is>
      </c>
      <c r="U920" t="inlineStr">
        <is>
          <t>BSA</t>
        </is>
      </c>
    </row>
    <row r="921">
      <c r="C921" t="inlineStr">
        <is>
          <t>BSA</t>
        </is>
      </c>
      <c r="D921" t="inlineStr">
        <is>
          <t>BSA</t>
        </is>
      </c>
      <c r="E921" t="inlineStr">
        <is>
          <t>당월</t>
        </is>
      </c>
      <c r="F921" t="inlineStr">
        <is>
          <t>12월 3주차</t>
        </is>
      </c>
      <c r="G921" t="inlineStr">
        <is>
          <t>네이버</t>
        </is>
      </c>
      <c r="H921" s="16" t="n">
        <v>45644</v>
      </c>
      <c r="I921" t="inlineStr">
        <is>
          <t>MO</t>
        </is>
      </c>
      <c r="J921" t="inlineStr">
        <is>
          <t>00.브랜드검색PCMO</t>
        </is>
      </c>
      <c r="K921" t="inlineStr">
        <is>
          <t>00_브랜드검색MO</t>
        </is>
      </c>
      <c r="M921" t="n">
        <v>0</v>
      </c>
      <c r="N921" t="n">
        <v>0</v>
      </c>
      <c r="O921">
        <f>1892000/48</f>
        <v/>
      </c>
      <c r="P921" t="n">
        <v>0</v>
      </c>
      <c r="Q921" t="n">
        <v>0</v>
      </c>
      <c r="R921" t="n">
        <v>0</v>
      </c>
      <c r="S921" t="n">
        <v>0</v>
      </c>
      <c r="T921" t="inlineStr">
        <is>
          <t>BSA</t>
        </is>
      </c>
      <c r="U921" t="inlineStr">
        <is>
          <t>BSA</t>
        </is>
      </c>
    </row>
    <row r="922">
      <c r="C922" t="inlineStr">
        <is>
          <t>BSA</t>
        </is>
      </c>
      <c r="D922" t="inlineStr">
        <is>
          <t>BSA</t>
        </is>
      </c>
      <c r="E922" t="inlineStr">
        <is>
          <t>당월</t>
        </is>
      </c>
      <c r="F922" t="inlineStr">
        <is>
          <t>12월 3주차</t>
        </is>
      </c>
      <c r="G922" t="inlineStr">
        <is>
          <t>네이버</t>
        </is>
      </c>
      <c r="H922" s="16" t="n">
        <v>45644</v>
      </c>
      <c r="I922" t="inlineStr">
        <is>
          <t>MO</t>
        </is>
      </c>
      <c r="J922" t="inlineStr">
        <is>
          <t>00.브랜드검색PCMO</t>
        </is>
      </c>
      <c r="K922" t="inlineStr">
        <is>
          <t>00_브랜드검색MO</t>
        </is>
      </c>
      <c r="M922" t="n">
        <v>0</v>
      </c>
      <c r="N922" t="n">
        <v>0</v>
      </c>
      <c r="O922">
        <f>1892000/48</f>
        <v/>
      </c>
      <c r="P922" t="n">
        <v>0</v>
      </c>
      <c r="Q922" t="n">
        <v>0</v>
      </c>
      <c r="R922" t="n">
        <v>0</v>
      </c>
      <c r="S922" t="n">
        <v>0</v>
      </c>
      <c r="T922" t="inlineStr">
        <is>
          <t>BSA</t>
        </is>
      </c>
      <c r="U922" t="inlineStr">
        <is>
          <t>BSA</t>
        </is>
      </c>
    </row>
    <row r="923">
      <c r="C923" t="inlineStr">
        <is>
          <t>BSA</t>
        </is>
      </c>
      <c r="D923" t="inlineStr">
        <is>
          <t>BSA</t>
        </is>
      </c>
      <c r="E923" t="inlineStr">
        <is>
          <t>당월</t>
        </is>
      </c>
      <c r="F923" t="inlineStr">
        <is>
          <t>12월 3주차</t>
        </is>
      </c>
      <c r="G923" t="inlineStr">
        <is>
          <t>네이버</t>
        </is>
      </c>
      <c r="H923" s="16" t="n">
        <v>45645</v>
      </c>
      <c r="I923" t="inlineStr">
        <is>
          <t>MO</t>
        </is>
      </c>
      <c r="J923" t="inlineStr">
        <is>
          <t>00.브랜드검색PCMO</t>
        </is>
      </c>
      <c r="K923" t="inlineStr">
        <is>
          <t>00_브랜드검색MO</t>
        </is>
      </c>
      <c r="M923" t="n">
        <v>0</v>
      </c>
      <c r="N923" t="n">
        <v>0</v>
      </c>
      <c r="O923">
        <f>1892000/48</f>
        <v/>
      </c>
      <c r="P923" t="n">
        <v>0</v>
      </c>
      <c r="Q923" t="n">
        <v>0</v>
      </c>
      <c r="R923" t="n">
        <v>0</v>
      </c>
      <c r="S923" t="n">
        <v>0</v>
      </c>
      <c r="T923" t="inlineStr">
        <is>
          <t>BSA</t>
        </is>
      </c>
      <c r="U923" t="inlineStr">
        <is>
          <t>BSA</t>
        </is>
      </c>
    </row>
    <row r="924">
      <c r="C924" t="inlineStr">
        <is>
          <t>BSA</t>
        </is>
      </c>
      <c r="D924" t="inlineStr">
        <is>
          <t>BSA</t>
        </is>
      </c>
      <c r="E924" t="inlineStr">
        <is>
          <t>당월</t>
        </is>
      </c>
      <c r="F924" t="inlineStr">
        <is>
          <t>12월 3주차</t>
        </is>
      </c>
      <c r="G924" t="inlineStr">
        <is>
          <t>네이버</t>
        </is>
      </c>
      <c r="H924" s="16" t="n">
        <v>45645</v>
      </c>
      <c r="I924" t="inlineStr">
        <is>
          <t>MO</t>
        </is>
      </c>
      <c r="J924" t="inlineStr">
        <is>
          <t>00.브랜드검색PCMO</t>
        </is>
      </c>
      <c r="K924" t="inlineStr">
        <is>
          <t>00_브랜드검색MO</t>
        </is>
      </c>
      <c r="M924" t="n">
        <v>0</v>
      </c>
      <c r="N924" t="n">
        <v>0</v>
      </c>
      <c r="O924">
        <f>1892000/48</f>
        <v/>
      </c>
      <c r="P924" t="n">
        <v>0</v>
      </c>
      <c r="Q924" t="n">
        <v>0</v>
      </c>
      <c r="R924" t="n">
        <v>0</v>
      </c>
      <c r="S924" t="n">
        <v>0</v>
      </c>
      <c r="T924" t="inlineStr">
        <is>
          <t>BSA</t>
        </is>
      </c>
      <c r="U924" t="inlineStr">
        <is>
          <t>BSA</t>
        </is>
      </c>
    </row>
    <row r="925">
      <c r="C925" t="inlineStr">
        <is>
          <t>BSA</t>
        </is>
      </c>
      <c r="D925" t="inlineStr">
        <is>
          <t>BSA</t>
        </is>
      </c>
      <c r="E925" t="inlineStr">
        <is>
          <t>당월</t>
        </is>
      </c>
      <c r="F925" t="inlineStr">
        <is>
          <t>12월 3주차</t>
        </is>
      </c>
      <c r="G925" t="inlineStr">
        <is>
          <t>네이버</t>
        </is>
      </c>
      <c r="H925" s="16" t="n">
        <v>45646</v>
      </c>
      <c r="I925" t="inlineStr">
        <is>
          <t>MO</t>
        </is>
      </c>
      <c r="J925" t="inlineStr">
        <is>
          <t>00.브랜드검색PCMO</t>
        </is>
      </c>
      <c r="K925" t="inlineStr">
        <is>
          <t>00_브랜드검색MO</t>
        </is>
      </c>
      <c r="M925" t="n">
        <v>0</v>
      </c>
      <c r="N925" t="n">
        <v>0</v>
      </c>
      <c r="O925">
        <f>1892000/48</f>
        <v/>
      </c>
      <c r="P925" t="n">
        <v>0</v>
      </c>
      <c r="Q925" t="n">
        <v>0</v>
      </c>
      <c r="R925" t="n">
        <v>0</v>
      </c>
      <c r="S925" t="n">
        <v>0</v>
      </c>
      <c r="T925" t="inlineStr">
        <is>
          <t>BSA</t>
        </is>
      </c>
      <c r="U925" t="inlineStr">
        <is>
          <t>BSA</t>
        </is>
      </c>
    </row>
    <row r="926">
      <c r="C926" t="inlineStr">
        <is>
          <t>BSA</t>
        </is>
      </c>
      <c r="D926" t="inlineStr">
        <is>
          <t>BSA</t>
        </is>
      </c>
      <c r="E926" t="inlineStr">
        <is>
          <t>당월</t>
        </is>
      </c>
      <c r="F926" t="inlineStr">
        <is>
          <t>12월 3주차</t>
        </is>
      </c>
      <c r="G926" t="inlineStr">
        <is>
          <t>네이버</t>
        </is>
      </c>
      <c r="H926" s="16" t="n">
        <v>45646</v>
      </c>
      <c r="I926" t="inlineStr">
        <is>
          <t>MO</t>
        </is>
      </c>
      <c r="J926" t="inlineStr">
        <is>
          <t>00.브랜드검색PCMO</t>
        </is>
      </c>
      <c r="K926" t="inlineStr">
        <is>
          <t>00_브랜드검색MO</t>
        </is>
      </c>
      <c r="M926" t="n">
        <v>0</v>
      </c>
      <c r="N926" t="n">
        <v>0</v>
      </c>
      <c r="O926">
        <f>1892000/48</f>
        <v/>
      </c>
      <c r="P926" t="n">
        <v>0</v>
      </c>
      <c r="Q926" t="n">
        <v>0</v>
      </c>
      <c r="R926" t="n">
        <v>0</v>
      </c>
      <c r="S926" t="n">
        <v>0</v>
      </c>
      <c r="T926" t="inlineStr">
        <is>
          <t>BSA</t>
        </is>
      </c>
      <c r="U926" t="inlineStr">
        <is>
          <t>BSA</t>
        </is>
      </c>
    </row>
    <row r="927">
      <c r="C927" t="inlineStr">
        <is>
          <t>BSA</t>
        </is>
      </c>
      <c r="D927" t="inlineStr">
        <is>
          <t>BSA</t>
        </is>
      </c>
      <c r="E927" t="inlineStr">
        <is>
          <t>당월</t>
        </is>
      </c>
      <c r="F927" t="inlineStr">
        <is>
          <t>12월 3주차</t>
        </is>
      </c>
      <c r="G927" t="inlineStr">
        <is>
          <t>네이버</t>
        </is>
      </c>
      <c r="H927" s="16" t="n">
        <v>45647</v>
      </c>
      <c r="I927" t="inlineStr">
        <is>
          <t>MO</t>
        </is>
      </c>
      <c r="J927" t="inlineStr">
        <is>
          <t>00.브랜드검색PCMO</t>
        </is>
      </c>
      <c r="K927" t="inlineStr">
        <is>
          <t>00_브랜드검색MO</t>
        </is>
      </c>
      <c r="M927" t="n">
        <v>0</v>
      </c>
      <c r="N927" t="n">
        <v>0</v>
      </c>
      <c r="O927">
        <f>1892000/48</f>
        <v/>
      </c>
      <c r="P927" t="n">
        <v>0</v>
      </c>
      <c r="Q927" t="n">
        <v>0</v>
      </c>
      <c r="R927" t="n">
        <v>0</v>
      </c>
      <c r="S927" t="n">
        <v>0</v>
      </c>
      <c r="T927" t="inlineStr">
        <is>
          <t>BSA</t>
        </is>
      </c>
      <c r="U927" t="inlineStr">
        <is>
          <t>BSA</t>
        </is>
      </c>
    </row>
    <row r="928">
      <c r="C928" t="inlineStr">
        <is>
          <t>BSA</t>
        </is>
      </c>
      <c r="D928" t="inlineStr">
        <is>
          <t>BSA</t>
        </is>
      </c>
      <c r="E928" t="inlineStr">
        <is>
          <t>당월</t>
        </is>
      </c>
      <c r="F928" t="inlineStr">
        <is>
          <t>12월 3주차</t>
        </is>
      </c>
      <c r="G928" t="inlineStr">
        <is>
          <t>네이버</t>
        </is>
      </c>
      <c r="H928" s="16" t="n">
        <v>45647</v>
      </c>
      <c r="I928" t="inlineStr">
        <is>
          <t>MO</t>
        </is>
      </c>
      <c r="J928" t="inlineStr">
        <is>
          <t>00.브랜드검색PCMO</t>
        </is>
      </c>
      <c r="K928" t="inlineStr">
        <is>
          <t>00_브랜드검색MO</t>
        </is>
      </c>
      <c r="M928" t="n">
        <v>0</v>
      </c>
      <c r="N928" t="n">
        <v>0</v>
      </c>
      <c r="O928">
        <f>1892000/48</f>
        <v/>
      </c>
      <c r="P928" t="n">
        <v>0</v>
      </c>
      <c r="Q928" t="n">
        <v>0</v>
      </c>
      <c r="R928" t="n">
        <v>0</v>
      </c>
      <c r="S928" t="n">
        <v>0</v>
      </c>
      <c r="T928" t="inlineStr">
        <is>
          <t>BSA</t>
        </is>
      </c>
      <c r="U928" t="inlineStr">
        <is>
          <t>BSA</t>
        </is>
      </c>
    </row>
    <row r="929">
      <c r="C929" t="inlineStr">
        <is>
          <t>BSA</t>
        </is>
      </c>
      <c r="D929" t="inlineStr">
        <is>
          <t>BSA</t>
        </is>
      </c>
      <c r="E929" t="inlineStr">
        <is>
          <t>당월</t>
        </is>
      </c>
      <c r="F929" t="inlineStr">
        <is>
          <t>12월 3주차</t>
        </is>
      </c>
      <c r="G929" t="inlineStr">
        <is>
          <t>네이버</t>
        </is>
      </c>
      <c r="H929" s="16" t="n">
        <v>45648</v>
      </c>
      <c r="I929" t="inlineStr">
        <is>
          <t>MO</t>
        </is>
      </c>
      <c r="J929" t="inlineStr">
        <is>
          <t>00.브랜드검색PCMO</t>
        </is>
      </c>
      <c r="K929" t="inlineStr">
        <is>
          <t>00_브랜드검색MO</t>
        </is>
      </c>
      <c r="M929" t="n">
        <v>0</v>
      </c>
      <c r="N929" t="n">
        <v>0</v>
      </c>
      <c r="O929">
        <f>1892000/48</f>
        <v/>
      </c>
      <c r="P929" t="n">
        <v>0</v>
      </c>
      <c r="Q929" t="n">
        <v>0</v>
      </c>
      <c r="R929" t="n">
        <v>0</v>
      </c>
      <c r="S929" t="n">
        <v>0</v>
      </c>
      <c r="T929" t="inlineStr">
        <is>
          <t>BSA</t>
        </is>
      </c>
      <c r="U929" t="inlineStr">
        <is>
          <t>BSA</t>
        </is>
      </c>
    </row>
    <row r="930">
      <c r="C930" t="inlineStr">
        <is>
          <t>BSA</t>
        </is>
      </c>
      <c r="D930" t="inlineStr">
        <is>
          <t>BSA</t>
        </is>
      </c>
      <c r="E930" t="inlineStr">
        <is>
          <t>당월</t>
        </is>
      </c>
      <c r="F930" t="inlineStr">
        <is>
          <t>12월 3주차</t>
        </is>
      </c>
      <c r="G930" t="inlineStr">
        <is>
          <t>네이버</t>
        </is>
      </c>
      <c r="H930" s="16" t="n">
        <v>45648</v>
      </c>
      <c r="I930" t="inlineStr">
        <is>
          <t>MO</t>
        </is>
      </c>
      <c r="J930" t="inlineStr">
        <is>
          <t>00.브랜드검색PCMO</t>
        </is>
      </c>
      <c r="K930" t="inlineStr">
        <is>
          <t>00_브랜드검색MO</t>
        </is>
      </c>
      <c r="M930" t="n">
        <v>0</v>
      </c>
      <c r="N930" t="n">
        <v>0</v>
      </c>
      <c r="O930">
        <f>1892000/48</f>
        <v/>
      </c>
      <c r="P930" t="n">
        <v>0</v>
      </c>
      <c r="Q930" t="n">
        <v>0</v>
      </c>
      <c r="R930" t="n">
        <v>0</v>
      </c>
      <c r="S930" t="n">
        <v>0</v>
      </c>
      <c r="T930" t="inlineStr">
        <is>
          <t>BSA</t>
        </is>
      </c>
      <c r="U930" t="inlineStr">
        <is>
          <t>BSA</t>
        </is>
      </c>
    </row>
    <row r="932">
      <c r="C932" t="inlineStr">
        <is>
          <t>BSA</t>
        </is>
      </c>
      <c r="D932" t="inlineStr">
        <is>
          <t>BSA</t>
        </is>
      </c>
      <c r="E932" t="inlineStr">
        <is>
          <t>당월</t>
        </is>
      </c>
      <c r="F932" t="inlineStr">
        <is>
          <t>12월 3주차</t>
        </is>
      </c>
      <c r="G932" t="inlineStr">
        <is>
          <t>네이버</t>
        </is>
      </c>
      <c r="H932" s="16" t="n">
        <v>45649</v>
      </c>
      <c r="I932" t="inlineStr">
        <is>
          <t>PC</t>
        </is>
      </c>
      <c r="J932" t="inlineStr">
        <is>
          <t>00.브랜드검색PCMO</t>
        </is>
      </c>
      <c r="K932" t="inlineStr">
        <is>
          <t>00_브랜드검색PC</t>
        </is>
      </c>
      <c r="M932" t="n">
        <v>0</v>
      </c>
      <c r="N932" t="n">
        <v>0</v>
      </c>
      <c r="O932">
        <f>1892000/48</f>
        <v/>
      </c>
      <c r="P932" t="n">
        <v>0</v>
      </c>
      <c r="Q932" t="n">
        <v>0</v>
      </c>
      <c r="R932" t="n">
        <v>0</v>
      </c>
      <c r="S932" t="n">
        <v>0</v>
      </c>
      <c r="T932" t="inlineStr">
        <is>
          <t>BSA</t>
        </is>
      </c>
      <c r="U932" t="inlineStr">
        <is>
          <t>BSA</t>
        </is>
      </c>
    </row>
    <row r="933">
      <c r="C933" t="inlineStr">
        <is>
          <t>BSA</t>
        </is>
      </c>
      <c r="D933" t="inlineStr">
        <is>
          <t>BSA</t>
        </is>
      </c>
      <c r="E933" t="inlineStr">
        <is>
          <t>당월</t>
        </is>
      </c>
      <c r="F933" t="inlineStr">
        <is>
          <t>12월 3주차</t>
        </is>
      </c>
      <c r="G933" t="inlineStr">
        <is>
          <t>네이버</t>
        </is>
      </c>
      <c r="H933" s="16" t="n">
        <v>45649</v>
      </c>
      <c r="I933" t="inlineStr">
        <is>
          <t>MO</t>
        </is>
      </c>
      <c r="J933" t="inlineStr">
        <is>
          <t>00.브랜드검색PCMO</t>
        </is>
      </c>
      <c r="K933" t="inlineStr">
        <is>
          <t>00_브랜드검색MO</t>
        </is>
      </c>
      <c r="M933" t="n">
        <v>0</v>
      </c>
      <c r="N933" t="n">
        <v>0</v>
      </c>
      <c r="O933">
        <f>1892000/48</f>
        <v/>
      </c>
      <c r="P933" t="n">
        <v>0</v>
      </c>
      <c r="Q933" t="n">
        <v>0</v>
      </c>
      <c r="R933" t="n">
        <v>0</v>
      </c>
      <c r="S933" t="n">
        <v>0</v>
      </c>
      <c r="T933" t="inlineStr">
        <is>
          <t>BSA</t>
        </is>
      </c>
      <c r="U933" t="inlineStr">
        <is>
          <t>BSA</t>
        </is>
      </c>
    </row>
    <row r="934">
      <c r="C934" t="inlineStr">
        <is>
          <t>BSA</t>
        </is>
      </c>
      <c r="D934" t="inlineStr">
        <is>
          <t>BSA</t>
        </is>
      </c>
      <c r="E934" t="inlineStr">
        <is>
          <t>당월</t>
        </is>
      </c>
      <c r="F934" t="inlineStr">
        <is>
          <t>12월 3주차</t>
        </is>
      </c>
      <c r="G934" t="inlineStr">
        <is>
          <t>네이버</t>
        </is>
      </c>
      <c r="H934" s="16" t="n">
        <v>45650</v>
      </c>
      <c r="I934" t="inlineStr">
        <is>
          <t>PC</t>
        </is>
      </c>
      <c r="J934" t="inlineStr">
        <is>
          <t>00.브랜드검색PCMO</t>
        </is>
      </c>
      <c r="K934" t="inlineStr">
        <is>
          <t>00_브랜드검색PC</t>
        </is>
      </c>
      <c r="M934" t="n">
        <v>0</v>
      </c>
      <c r="N934" t="n">
        <v>0</v>
      </c>
      <c r="O934">
        <f>1892000/48</f>
        <v/>
      </c>
      <c r="P934" t="n">
        <v>0</v>
      </c>
      <c r="Q934" t="n">
        <v>0</v>
      </c>
      <c r="R934" t="n">
        <v>0</v>
      </c>
      <c r="S934" t="n">
        <v>0</v>
      </c>
      <c r="T934" t="inlineStr">
        <is>
          <t>BSA</t>
        </is>
      </c>
      <c r="U934" t="inlineStr">
        <is>
          <t>BSA</t>
        </is>
      </c>
    </row>
    <row r="935">
      <c r="C935" t="inlineStr">
        <is>
          <t>BSA</t>
        </is>
      </c>
      <c r="D935" t="inlineStr">
        <is>
          <t>BSA</t>
        </is>
      </c>
      <c r="E935" t="inlineStr">
        <is>
          <t>당월</t>
        </is>
      </c>
      <c r="F935" t="inlineStr">
        <is>
          <t>12월 3주차</t>
        </is>
      </c>
      <c r="G935" t="inlineStr">
        <is>
          <t>네이버</t>
        </is>
      </c>
      <c r="H935" s="16" t="n">
        <v>45650</v>
      </c>
      <c r="I935" t="inlineStr">
        <is>
          <t>MO</t>
        </is>
      </c>
      <c r="J935" t="inlineStr">
        <is>
          <t>00.브랜드검색PCMO</t>
        </is>
      </c>
      <c r="K935" t="inlineStr">
        <is>
          <t>00_브랜드검색MO</t>
        </is>
      </c>
      <c r="M935" t="n">
        <v>0</v>
      </c>
      <c r="N935" t="n">
        <v>0</v>
      </c>
      <c r="O935">
        <f>1892000/48</f>
        <v/>
      </c>
      <c r="P935" t="n">
        <v>0</v>
      </c>
      <c r="Q935" t="n">
        <v>0</v>
      </c>
      <c r="R935" t="n">
        <v>0</v>
      </c>
      <c r="S935" t="n">
        <v>0</v>
      </c>
      <c r="T935" t="inlineStr">
        <is>
          <t>BSA</t>
        </is>
      </c>
      <c r="U935" t="inlineStr">
        <is>
          <t>BSA</t>
        </is>
      </c>
    </row>
    <row r="936">
      <c r="C936" t="inlineStr">
        <is>
          <t>BSA</t>
        </is>
      </c>
      <c r="D936" t="inlineStr">
        <is>
          <t>BSA</t>
        </is>
      </c>
      <c r="E936" t="inlineStr">
        <is>
          <t>당월</t>
        </is>
      </c>
      <c r="F936" t="inlineStr">
        <is>
          <t>12월 3주차</t>
        </is>
      </c>
      <c r="G936" t="inlineStr">
        <is>
          <t>네이버</t>
        </is>
      </c>
      <c r="H936" s="16" t="n">
        <v>45651</v>
      </c>
      <c r="I936" t="inlineStr">
        <is>
          <t>MO</t>
        </is>
      </c>
      <c r="J936" t="inlineStr">
        <is>
          <t>00.브랜드검색PCMO</t>
        </is>
      </c>
      <c r="K936" t="inlineStr">
        <is>
          <t>00_브랜드검색MO</t>
        </is>
      </c>
      <c r="M936" t="n">
        <v>0</v>
      </c>
      <c r="N936" t="n">
        <v>0</v>
      </c>
      <c r="O936">
        <f>1892000/48</f>
        <v/>
      </c>
      <c r="P936" t="n">
        <v>0</v>
      </c>
      <c r="Q936" t="n">
        <v>0</v>
      </c>
      <c r="R936" t="n">
        <v>0</v>
      </c>
      <c r="S936" t="n">
        <v>0</v>
      </c>
      <c r="T936" t="inlineStr">
        <is>
          <t>BSA</t>
        </is>
      </c>
      <c r="U936" t="inlineStr">
        <is>
          <t>BSA</t>
        </is>
      </c>
    </row>
    <row r="937">
      <c r="C937" t="inlineStr">
        <is>
          <t>BSA</t>
        </is>
      </c>
      <c r="D937" t="inlineStr">
        <is>
          <t>BSA</t>
        </is>
      </c>
      <c r="E937" t="inlineStr">
        <is>
          <t>당월</t>
        </is>
      </c>
      <c r="F937" t="inlineStr">
        <is>
          <t>12월 3주차</t>
        </is>
      </c>
      <c r="G937" t="inlineStr">
        <is>
          <t>네이버</t>
        </is>
      </c>
      <c r="H937" s="16" t="n">
        <v>45651</v>
      </c>
      <c r="I937" t="inlineStr">
        <is>
          <t>MO</t>
        </is>
      </c>
      <c r="J937" t="inlineStr">
        <is>
          <t>00.브랜드검색PCMO</t>
        </is>
      </c>
      <c r="K937" t="inlineStr">
        <is>
          <t>00_브랜드검색MO</t>
        </is>
      </c>
      <c r="M937" t="n">
        <v>0</v>
      </c>
      <c r="N937" t="n">
        <v>0</v>
      </c>
      <c r="O937">
        <f>1892000/48</f>
        <v/>
      </c>
      <c r="P937" t="n">
        <v>0</v>
      </c>
      <c r="Q937" t="n">
        <v>0</v>
      </c>
      <c r="R937" t="n">
        <v>0</v>
      </c>
      <c r="S937" t="n">
        <v>0</v>
      </c>
      <c r="T937" t="inlineStr">
        <is>
          <t>BSA</t>
        </is>
      </c>
      <c r="U937" t="inlineStr">
        <is>
          <t>BSA</t>
        </is>
      </c>
    </row>
    <row r="938">
      <c r="C938" t="inlineStr">
        <is>
          <t>BSA</t>
        </is>
      </c>
      <c r="D938" t="inlineStr">
        <is>
          <t>BSA</t>
        </is>
      </c>
      <c r="E938" t="inlineStr">
        <is>
          <t>당월</t>
        </is>
      </c>
      <c r="F938" t="inlineStr">
        <is>
          <t>12월 3주차</t>
        </is>
      </c>
      <c r="G938" t="inlineStr">
        <is>
          <t>네이버</t>
        </is>
      </c>
      <c r="H938" s="16" t="n">
        <v>45652</v>
      </c>
      <c r="I938" t="inlineStr">
        <is>
          <t>MO</t>
        </is>
      </c>
      <c r="J938" t="inlineStr">
        <is>
          <t>00.브랜드검색PCMO</t>
        </is>
      </c>
      <c r="K938" t="inlineStr">
        <is>
          <t>00_브랜드검색MO</t>
        </is>
      </c>
      <c r="M938" t="n">
        <v>0</v>
      </c>
      <c r="N938" t="n">
        <v>0</v>
      </c>
      <c r="O938">
        <f>1892000/48</f>
        <v/>
      </c>
      <c r="P938" t="n">
        <v>0</v>
      </c>
      <c r="Q938" t="n">
        <v>0</v>
      </c>
      <c r="R938" t="n">
        <v>0</v>
      </c>
      <c r="S938" t="n">
        <v>0</v>
      </c>
      <c r="T938" t="inlineStr">
        <is>
          <t>BSA</t>
        </is>
      </c>
      <c r="U938" t="inlineStr">
        <is>
          <t>BSA</t>
        </is>
      </c>
    </row>
    <row r="939">
      <c r="C939" t="inlineStr">
        <is>
          <t>BSA</t>
        </is>
      </c>
      <c r="D939" t="inlineStr">
        <is>
          <t>BSA</t>
        </is>
      </c>
      <c r="E939" t="inlineStr">
        <is>
          <t>당월</t>
        </is>
      </c>
      <c r="F939" t="inlineStr">
        <is>
          <t>12월 3주차</t>
        </is>
      </c>
      <c r="G939" t="inlineStr">
        <is>
          <t>네이버</t>
        </is>
      </c>
      <c r="H939" s="16" t="n">
        <v>45652</v>
      </c>
      <c r="I939" t="inlineStr">
        <is>
          <t>MO</t>
        </is>
      </c>
      <c r="J939" t="inlineStr">
        <is>
          <t>00.브랜드검색PCMO</t>
        </is>
      </c>
      <c r="K939" t="inlineStr">
        <is>
          <t>00_브랜드검색MO</t>
        </is>
      </c>
      <c r="M939" t="n">
        <v>0</v>
      </c>
      <c r="N939" t="n">
        <v>0</v>
      </c>
      <c r="O939">
        <f>1892000/48</f>
        <v/>
      </c>
      <c r="P939" t="n">
        <v>0</v>
      </c>
      <c r="Q939" t="n">
        <v>0</v>
      </c>
      <c r="R939" t="n">
        <v>0</v>
      </c>
      <c r="S939" t="n">
        <v>0</v>
      </c>
      <c r="T939" t="inlineStr">
        <is>
          <t>BSA</t>
        </is>
      </c>
      <c r="U939" t="inlineStr">
        <is>
          <t>BSA</t>
        </is>
      </c>
    </row>
    <row r="940">
      <c r="C940" t="inlineStr">
        <is>
          <t>BSA</t>
        </is>
      </c>
      <c r="D940" t="inlineStr">
        <is>
          <t>BSA</t>
        </is>
      </c>
      <c r="E940" t="inlineStr">
        <is>
          <t>당월</t>
        </is>
      </c>
      <c r="F940" t="inlineStr">
        <is>
          <t>12월 3주차</t>
        </is>
      </c>
      <c r="G940" t="inlineStr">
        <is>
          <t>네이버</t>
        </is>
      </c>
      <c r="H940" s="16" t="n">
        <v>45653</v>
      </c>
      <c r="I940" t="inlineStr">
        <is>
          <t>MO</t>
        </is>
      </c>
      <c r="J940" t="inlineStr">
        <is>
          <t>00.브랜드검색PCMO</t>
        </is>
      </c>
      <c r="K940" t="inlineStr">
        <is>
          <t>00_브랜드검색MO</t>
        </is>
      </c>
      <c r="M940" t="n">
        <v>0</v>
      </c>
      <c r="N940" t="n">
        <v>0</v>
      </c>
      <c r="O940">
        <f>1892000/48</f>
        <v/>
      </c>
      <c r="P940" t="n">
        <v>0</v>
      </c>
      <c r="Q940" t="n">
        <v>0</v>
      </c>
      <c r="R940" t="n">
        <v>0</v>
      </c>
      <c r="S940" t="n">
        <v>0</v>
      </c>
      <c r="T940" t="inlineStr">
        <is>
          <t>BSA</t>
        </is>
      </c>
      <c r="U940" t="inlineStr">
        <is>
          <t>BSA</t>
        </is>
      </c>
    </row>
    <row r="941">
      <c r="C941" t="inlineStr">
        <is>
          <t>BSA</t>
        </is>
      </c>
      <c r="D941" t="inlineStr">
        <is>
          <t>BSA</t>
        </is>
      </c>
      <c r="E941" t="inlineStr">
        <is>
          <t>당월</t>
        </is>
      </c>
      <c r="F941" t="inlineStr">
        <is>
          <t>12월 3주차</t>
        </is>
      </c>
      <c r="G941" t="inlineStr">
        <is>
          <t>네이버</t>
        </is>
      </c>
      <c r="H941" s="16" t="n">
        <v>45653</v>
      </c>
      <c r="I941" t="inlineStr">
        <is>
          <t>MO</t>
        </is>
      </c>
      <c r="J941" t="inlineStr">
        <is>
          <t>00.브랜드검색PCMO</t>
        </is>
      </c>
      <c r="K941" t="inlineStr">
        <is>
          <t>00_브랜드검색MO</t>
        </is>
      </c>
      <c r="M941" t="n">
        <v>0</v>
      </c>
      <c r="N941" t="n">
        <v>0</v>
      </c>
      <c r="O941">
        <f>1892000/48</f>
        <v/>
      </c>
      <c r="P941" t="n">
        <v>0</v>
      </c>
      <c r="Q941" t="n">
        <v>0</v>
      </c>
      <c r="R941" t="n">
        <v>0</v>
      </c>
      <c r="S941" t="n">
        <v>0</v>
      </c>
      <c r="T941" t="inlineStr">
        <is>
          <t>BSA</t>
        </is>
      </c>
      <c r="U941" t="inlineStr">
        <is>
          <t>BSA</t>
        </is>
      </c>
    </row>
    <row r="942">
      <c r="C942" t="inlineStr">
        <is>
          <t>BSA</t>
        </is>
      </c>
      <c r="D942" t="inlineStr">
        <is>
          <t>BSA</t>
        </is>
      </c>
      <c r="E942" t="inlineStr">
        <is>
          <t>당월</t>
        </is>
      </c>
      <c r="F942" t="inlineStr">
        <is>
          <t>12월 3주차</t>
        </is>
      </c>
      <c r="G942" t="inlineStr">
        <is>
          <t>네이버</t>
        </is>
      </c>
      <c r="H942" s="16" t="n">
        <v>45654</v>
      </c>
      <c r="I942" t="inlineStr">
        <is>
          <t>MO</t>
        </is>
      </c>
      <c r="J942" t="inlineStr">
        <is>
          <t>00.브랜드검색PCMO</t>
        </is>
      </c>
      <c r="K942" t="inlineStr">
        <is>
          <t>00_브랜드검색MO</t>
        </is>
      </c>
      <c r="M942" t="n">
        <v>0</v>
      </c>
      <c r="N942" t="n">
        <v>0</v>
      </c>
      <c r="O942">
        <f>1892000/48</f>
        <v/>
      </c>
      <c r="P942" t="n">
        <v>0</v>
      </c>
      <c r="Q942" t="n">
        <v>0</v>
      </c>
      <c r="R942" t="n">
        <v>0</v>
      </c>
      <c r="S942" t="n">
        <v>0</v>
      </c>
      <c r="T942" t="inlineStr">
        <is>
          <t>BSA</t>
        </is>
      </c>
      <c r="U942" t="inlineStr">
        <is>
          <t>BSA</t>
        </is>
      </c>
    </row>
    <row r="943">
      <c r="C943" t="inlineStr">
        <is>
          <t>BSA</t>
        </is>
      </c>
      <c r="D943" t="inlineStr">
        <is>
          <t>BSA</t>
        </is>
      </c>
      <c r="E943" t="inlineStr">
        <is>
          <t>당월</t>
        </is>
      </c>
      <c r="F943" t="inlineStr">
        <is>
          <t>12월 3주차</t>
        </is>
      </c>
      <c r="G943" t="inlineStr">
        <is>
          <t>네이버</t>
        </is>
      </c>
      <c r="H943" s="16" t="n">
        <v>45654</v>
      </c>
      <c r="I943" t="inlineStr">
        <is>
          <t>MO</t>
        </is>
      </c>
      <c r="J943" t="inlineStr">
        <is>
          <t>00.브랜드검색PCMO</t>
        </is>
      </c>
      <c r="K943" t="inlineStr">
        <is>
          <t>00_브랜드검색MO</t>
        </is>
      </c>
      <c r="M943" t="n">
        <v>0</v>
      </c>
      <c r="N943" t="n">
        <v>0</v>
      </c>
      <c r="O943">
        <f>1892000/48</f>
        <v/>
      </c>
      <c r="P943" t="n">
        <v>0</v>
      </c>
      <c r="Q943" t="n">
        <v>0</v>
      </c>
      <c r="R943" t="n">
        <v>0</v>
      </c>
      <c r="S943" t="n">
        <v>0</v>
      </c>
      <c r="T943" t="inlineStr">
        <is>
          <t>BSA</t>
        </is>
      </c>
      <c r="U943" t="inlineStr">
        <is>
          <t>BSA</t>
        </is>
      </c>
    </row>
    <row r="944">
      <c r="C944" t="inlineStr">
        <is>
          <t>BSA</t>
        </is>
      </c>
      <c r="D944" t="inlineStr">
        <is>
          <t>BSA</t>
        </is>
      </c>
      <c r="E944" t="inlineStr">
        <is>
          <t>당월</t>
        </is>
      </c>
      <c r="F944" t="inlineStr">
        <is>
          <t>12월 3주차</t>
        </is>
      </c>
      <c r="G944" t="inlineStr">
        <is>
          <t>네이버</t>
        </is>
      </c>
      <c r="H944" s="16" t="n">
        <v>45655</v>
      </c>
      <c r="I944" t="inlineStr">
        <is>
          <t>MO</t>
        </is>
      </c>
      <c r="J944" t="inlineStr">
        <is>
          <t>00.브랜드검색PCMO</t>
        </is>
      </c>
      <c r="K944" t="inlineStr">
        <is>
          <t>00_브랜드검색MO</t>
        </is>
      </c>
      <c r="M944" t="n">
        <v>0</v>
      </c>
      <c r="N944" t="n">
        <v>0</v>
      </c>
      <c r="O944">
        <f>1892000/48</f>
        <v/>
      </c>
      <c r="P944" t="n">
        <v>0</v>
      </c>
      <c r="Q944" t="n">
        <v>0</v>
      </c>
      <c r="R944" t="n">
        <v>0</v>
      </c>
      <c r="S944" t="n">
        <v>0</v>
      </c>
      <c r="T944" t="inlineStr">
        <is>
          <t>BSA</t>
        </is>
      </c>
      <c r="U944" t="inlineStr">
        <is>
          <t>BSA</t>
        </is>
      </c>
    </row>
    <row r="945">
      <c r="C945" t="inlineStr">
        <is>
          <t>BSA</t>
        </is>
      </c>
      <c r="D945" t="inlineStr">
        <is>
          <t>BSA</t>
        </is>
      </c>
      <c r="E945" t="inlineStr">
        <is>
          <t>당월</t>
        </is>
      </c>
      <c r="F945" t="inlineStr">
        <is>
          <t>12월 3주차</t>
        </is>
      </c>
      <c r="G945" t="inlineStr">
        <is>
          <t>네이버</t>
        </is>
      </c>
      <c r="H945" s="16" t="n">
        <v>45655</v>
      </c>
      <c r="I945" t="inlineStr">
        <is>
          <t>MO</t>
        </is>
      </c>
      <c r="J945" t="inlineStr">
        <is>
          <t>00.브랜드검색PCMO</t>
        </is>
      </c>
      <c r="K945" t="inlineStr">
        <is>
          <t>00_브랜드검색MO</t>
        </is>
      </c>
      <c r="M945" t="n">
        <v>0</v>
      </c>
      <c r="N945" t="n">
        <v>0</v>
      </c>
      <c r="O945">
        <f>1892000/48</f>
        <v/>
      </c>
      <c r="P945" t="n">
        <v>0</v>
      </c>
      <c r="Q945" t="n">
        <v>0</v>
      </c>
      <c r="R945" t="n">
        <v>0</v>
      </c>
      <c r="S945" t="n">
        <v>0</v>
      </c>
      <c r="T945" t="inlineStr">
        <is>
          <t>BSA</t>
        </is>
      </c>
      <c r="U945" t="inlineStr">
        <is>
          <t>BSA</t>
        </is>
      </c>
    </row>
    <row r="946">
      <c r="C946" t="inlineStr">
        <is>
          <t>BSA</t>
        </is>
      </c>
      <c r="D946" t="inlineStr">
        <is>
          <t>BSA</t>
        </is>
      </c>
      <c r="E946" t="inlineStr">
        <is>
          <t>당월</t>
        </is>
      </c>
      <c r="F946" t="inlineStr">
        <is>
          <t>12월 3주차</t>
        </is>
      </c>
      <c r="G946" t="inlineStr">
        <is>
          <t>네이버</t>
        </is>
      </c>
      <c r="H946" s="16" t="n">
        <v>45656</v>
      </c>
      <c r="I946" t="inlineStr">
        <is>
          <t>MO</t>
        </is>
      </c>
      <c r="J946" t="inlineStr">
        <is>
          <t>00.브랜드검색PCMO</t>
        </is>
      </c>
      <c r="K946" t="inlineStr">
        <is>
          <t>00_브랜드검색MO</t>
        </is>
      </c>
      <c r="M946" t="n">
        <v>0</v>
      </c>
      <c r="N946" t="n">
        <v>0</v>
      </c>
      <c r="O946">
        <f>1892000/48</f>
        <v/>
      </c>
      <c r="P946" t="n">
        <v>0</v>
      </c>
      <c r="Q946" t="n">
        <v>0</v>
      </c>
      <c r="R946" t="n">
        <v>0</v>
      </c>
      <c r="S946" t="n">
        <v>0</v>
      </c>
      <c r="T946" t="inlineStr">
        <is>
          <t>BSA</t>
        </is>
      </c>
      <c r="U946" t="inlineStr">
        <is>
          <t>BSA</t>
        </is>
      </c>
    </row>
    <row r="947">
      <c r="C947" t="inlineStr">
        <is>
          <t>BSA</t>
        </is>
      </c>
      <c r="D947" t="inlineStr">
        <is>
          <t>BSA</t>
        </is>
      </c>
      <c r="E947" t="inlineStr">
        <is>
          <t>당월</t>
        </is>
      </c>
      <c r="F947" t="inlineStr">
        <is>
          <t>12월 3주차</t>
        </is>
      </c>
      <c r="G947" t="inlineStr">
        <is>
          <t>네이버</t>
        </is>
      </c>
      <c r="H947" s="16" t="n">
        <v>45656</v>
      </c>
      <c r="I947" t="inlineStr">
        <is>
          <t>MO</t>
        </is>
      </c>
      <c r="J947" t="inlineStr">
        <is>
          <t>00.브랜드검색PCMO</t>
        </is>
      </c>
      <c r="K947" t="inlineStr">
        <is>
          <t>00_브랜드검색MO</t>
        </is>
      </c>
      <c r="M947" t="n">
        <v>0</v>
      </c>
      <c r="N947" t="n">
        <v>0</v>
      </c>
      <c r="O947">
        <f>1892000/48</f>
        <v/>
      </c>
      <c r="P947" t="n">
        <v>0</v>
      </c>
      <c r="Q947" t="n">
        <v>0</v>
      </c>
      <c r="R947" t="n">
        <v>0</v>
      </c>
      <c r="S947" t="n">
        <v>0</v>
      </c>
      <c r="T947" t="inlineStr">
        <is>
          <t>BSA</t>
        </is>
      </c>
      <c r="U947" t="inlineStr">
        <is>
          <t>BSA</t>
        </is>
      </c>
    </row>
    <row r="948">
      <c r="C948" t="inlineStr">
        <is>
          <t>BSA</t>
        </is>
      </c>
      <c r="D948" t="inlineStr">
        <is>
          <t>BSA</t>
        </is>
      </c>
      <c r="E948" t="inlineStr">
        <is>
          <t>당월</t>
        </is>
      </c>
      <c r="F948" t="inlineStr">
        <is>
          <t>12월 3주차</t>
        </is>
      </c>
      <c r="G948" t="inlineStr">
        <is>
          <t>네이버</t>
        </is>
      </c>
      <c r="H948" s="16" t="n">
        <v>45657</v>
      </c>
      <c r="I948" t="inlineStr">
        <is>
          <t>MO</t>
        </is>
      </c>
      <c r="J948" t="inlineStr">
        <is>
          <t>00.브랜드검색PCMO</t>
        </is>
      </c>
      <c r="K948" t="inlineStr">
        <is>
          <t>00_브랜드검색MO</t>
        </is>
      </c>
      <c r="M948" t="n">
        <v>0</v>
      </c>
      <c r="N948" t="n">
        <v>0</v>
      </c>
      <c r="O948">
        <f>1892000/48</f>
        <v/>
      </c>
      <c r="P948" t="n">
        <v>0</v>
      </c>
      <c r="Q948" t="n">
        <v>0</v>
      </c>
      <c r="R948" t="n">
        <v>0</v>
      </c>
      <c r="S948" t="n">
        <v>0</v>
      </c>
      <c r="T948" t="inlineStr">
        <is>
          <t>BSA</t>
        </is>
      </c>
      <c r="U948" t="inlineStr">
        <is>
          <t>BSA</t>
        </is>
      </c>
    </row>
    <row r="949">
      <c r="C949" t="inlineStr">
        <is>
          <t>BSA</t>
        </is>
      </c>
      <c r="D949" t="inlineStr">
        <is>
          <t>BSA</t>
        </is>
      </c>
      <c r="E949" t="inlineStr">
        <is>
          <t>당월</t>
        </is>
      </c>
      <c r="F949" t="inlineStr">
        <is>
          <t>12월 3주차</t>
        </is>
      </c>
      <c r="G949" t="inlineStr">
        <is>
          <t>네이버</t>
        </is>
      </c>
      <c r="H949" s="16" t="n">
        <v>45657</v>
      </c>
      <c r="I949" t="inlineStr">
        <is>
          <t>MO</t>
        </is>
      </c>
      <c r="J949" t="inlineStr">
        <is>
          <t>00.브랜드검색PCMO</t>
        </is>
      </c>
      <c r="K949" t="inlineStr">
        <is>
          <t>00_브랜드검색MO</t>
        </is>
      </c>
      <c r="M949" t="n">
        <v>0</v>
      </c>
      <c r="N949" t="n">
        <v>0</v>
      </c>
      <c r="O949">
        <f>1892000/48</f>
        <v/>
      </c>
      <c r="P949" t="n">
        <v>0</v>
      </c>
      <c r="Q949" t="n">
        <v>0</v>
      </c>
      <c r="R949" t="n">
        <v>0</v>
      </c>
      <c r="S949" t="n">
        <v>0</v>
      </c>
      <c r="T949" t="inlineStr">
        <is>
          <t>BSA</t>
        </is>
      </c>
      <c r="U949" t="inlineStr">
        <is>
          <t>BSA</t>
        </is>
      </c>
    </row>
    <row r="950">
      <c r="H950" s="16" t="n"/>
    </row>
    <row r="951">
      <c r="H951" s="16" t="n"/>
    </row>
    <row r="952">
      <c r="H952" s="16" t="n"/>
    </row>
    <row r="953">
      <c r="H953" s="16" t="n"/>
    </row>
    <row r="954">
      <c r="H954" s="16" t="n"/>
    </row>
    <row r="955">
      <c r="H955" s="16" t="n"/>
    </row>
    <row r="956">
      <c r="H956" s="16" t="n"/>
    </row>
    <row r="957">
      <c r="H957" s="16" t="n"/>
    </row>
    <row r="958">
      <c r="H958" s="16" t="n"/>
    </row>
    <row r="959">
      <c r="H959" s="16" t="n"/>
    </row>
    <row r="960">
      <c r="H960" s="16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</dc:creator>
  <dcterms:created xsi:type="dcterms:W3CDTF">2015-06-05T18:19:34Z</dcterms:created>
  <dcterms:modified xsi:type="dcterms:W3CDTF">2026-07-15T15:02:11Z</dcterms:modified>
  <cp:lastModifiedBy>강 일구</cp:lastModifiedBy>
</cp:coreProperties>
</file>